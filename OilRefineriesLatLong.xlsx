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C:\Users\mwatson4\Documents\GitHub\C2C_Project\Supply_Chain_Model\"/>
    </mc:Choice>
  </mc:AlternateContent>
  <xr:revisionPtr revIDLastSave="0" documentId="13_ncr:1_{5DCBC30E-A0AA-4E5B-88D5-ACDBDADF1FF9}" xr6:coauthVersionLast="36" xr6:coauthVersionMax="47" xr10:uidLastSave="{00000000-0000-0000-0000-000000000000}"/>
  <bookViews>
    <workbookView xWindow="0" yWindow="0" windowWidth="51600" windowHeight="17505" xr2:uid="{DE51CFC8-AF8D-4B09-B8F7-A1AB69453F24}"/>
  </bookViews>
  <sheets>
    <sheet name="QAVref" sheetId="3" r:id="rId1"/>
    <sheet name="all_refineries" sheetId="1" r:id="rId2"/>
    <sheet name="SOURCE" sheetId="2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3" l="1"/>
  <c r="K7" i="3"/>
  <c r="K9" i="3"/>
  <c r="K8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<sst xmlns="http://schemas.openxmlformats.org/spreadsheetml/2006/main" count="184" uniqueCount="113">
  <si>
    <t>List of refineries:</t>
  </si>
  <si>
    <t>https://www.alemdasuperficie.org/setor/conheca-o-parque-de-refino-do-brasil/</t>
  </si>
  <si>
    <t>refinery</t>
  </si>
  <si>
    <t>name</t>
  </si>
  <si>
    <t>Refinaria Abreu e Lima</t>
  </si>
  <si>
    <t>RNEST</t>
  </si>
  <si>
    <t>city</t>
  </si>
  <si>
    <t>location</t>
  </si>
  <si>
    <t>Complexo Industrial Portuário de Suape (PE)</t>
  </si>
  <si>
    <t>products</t>
  </si>
  <si>
    <t>diesel S-10, nafta, óleo combustível, coque, GLP (gás liquefeito de petróleo).</t>
  </si>
  <si>
    <t>Refinaria Clara Camarão</t>
  </si>
  <si>
    <t>CLARACAMARAO</t>
  </si>
  <si>
    <t>Polo Industrial Petrobras de Guamaré (RN)</t>
  </si>
  <si>
    <t>year operation start</t>
  </si>
  <si>
    <t>6.000 m3/dia de petróleo</t>
  </si>
  <si>
    <t>diesel, gasolina, QAV (querosene de aviação).</t>
  </si>
  <si>
    <t>Polo GasLub Itaboraí</t>
  </si>
  <si>
    <t>ITABORAI</t>
  </si>
  <si>
    <t>Distrito de Itaboraí (RJ)</t>
  </si>
  <si>
    <t>21 milhões de m³ de gás</t>
  </si>
  <si>
    <t>Gás</t>
  </si>
  <si>
    <t>Refinaria Landulpho Alves</t>
  </si>
  <si>
    <t>RLAM</t>
  </si>
  <si>
    <t>Pólo Petroquímico de Camaçari (BA)</t>
  </si>
  <si>
    <t>323.000 bbl/d ou 51.352 m³/d.</t>
  </si>
  <si>
    <t>diesel, gasolina, QAV, asfalto, nafta petroquimica, gases petroquímicos, parafinas, lubrificantes, GLP e óleos combustíveis (industriais, térmicas e bunker)</t>
  </si>
  <si>
    <t>Refinaria Lubrificantes e Derivados do Nordeste</t>
  </si>
  <si>
    <t>LUBNOR</t>
  </si>
  <si>
    <t>Fortaleza (CE)</t>
  </si>
  <si>
    <t>8 mil bbl/d</t>
  </si>
  <si>
    <t>asfalto, lubrificantes</t>
  </si>
  <si>
    <t>Refinaria Capuava</t>
  </si>
  <si>
    <t>RECAP</t>
  </si>
  <si>
    <t>Mauá (SP)</t>
  </si>
  <si>
    <t>53 mil bbl/d.</t>
  </si>
  <si>
    <t>gasolina e diesel baixo teor de enxofre (S-10), aguarrás, propeno, GLP e solventes especiais</t>
  </si>
  <si>
    <t>Refinaria Duque de Caxias</t>
  </si>
  <si>
    <t>REDUC</t>
  </si>
  <si>
    <t>Duque de Caxias (RJ)</t>
  </si>
  <si>
    <t>239.000 bbl/d ou 38.000 m³/d.</t>
  </si>
  <si>
    <t>óleo diesel, gasolina, QAV, asfalto, nafta petroquímica, gases petroquímicos (etano, propano e propeno), parafinas, lubrificantes, GLP, coque, enxofre.</t>
  </si>
  <si>
    <t>Refinaria Alberto Pasqualini </t>
  </si>
  <si>
    <t>REFAP</t>
  </si>
  <si>
    <t>Canoas (RS)</t>
  </si>
  <si>
    <t>201.280 bbl/dia ou 32 mil m³/dia.</t>
  </si>
  <si>
    <t>diesel, gasolina, GLP, óleo combustível, querosene de aviação, solventes, asfalto, coque, enxofre, propeno.</t>
  </si>
  <si>
    <t>Unidade de Industrialização do Xisto</t>
  </si>
  <si>
    <t>XISTO</t>
  </si>
  <si>
    <t>São Mateus do Sul (PR)</t>
  </si>
  <si>
    <t>5.880 t/d.</t>
  </si>
  <si>
    <t>óleos combustíveis, GLP, gás combustível, nafta, enxofre, insumos para pavimentação, água de xisto.</t>
  </si>
  <si>
    <t>Refinaria Gabriel Passos</t>
  </si>
  <si>
    <t>REGAP</t>
  </si>
  <si>
    <t>Betim (MG)</t>
  </si>
  <si>
    <t>24.000 m³/dia ou 150.000 bbl/dia.</t>
  </si>
  <si>
    <t>gasolina A, diesel, combustível marítimo (bunker), QAV, GLP, coque verde de petróleo, óleo combustível, enxofre e aguarrás.</t>
  </si>
  <si>
    <t>Refinaria Isaac Sabbá</t>
  </si>
  <si>
    <t>Manaus (AM)</t>
  </si>
  <si>
    <t>46 mil bbl/d.</t>
  </si>
  <si>
    <t>GLP, nafta petroquímica, gasolina, querosene de aviação, óleo diesel, óleos combustíveis, óleo leve para turbina elétrica, óleo para geração de energia, asfalto.</t>
  </si>
  <si>
    <t>Refinaria Presidente Getúlio Vargas</t>
  </si>
  <si>
    <t>REPAR</t>
  </si>
  <si>
    <t>Araucária (PR)</t>
  </si>
  <si>
    <t>33 mil m³/d ou 207.563 bbl/d.</t>
  </si>
  <si>
    <t>diesel, gasolina, GLP, coque, asfalto, óleos combustíveis, QAV, propeno, óleos marítimos</t>
  </si>
  <si>
    <t>Refinaria Presidente Bernardes</t>
  </si>
  <si>
    <t>RPBC</t>
  </si>
  <si>
    <t>Cubatão (SP)</t>
  </si>
  <si>
    <t>178 mil bbl/d ou 28.300 m³/d</t>
  </si>
  <si>
    <t>gasolina A, gasolina podium, gasolinas de competição, coque de petróleo, gasolina de aviação, óleo diesel, GLP, nafta petroquímica, gás natural, bunker, hidrogênio, butano desodorizado, benzeno, xilenos e tolueno, hexano, enxofre, resíduo aromático, entre outros.</t>
  </si>
  <si>
    <t>Refinaria de Paulínia </t>
  </si>
  <si>
    <t>REPLAN</t>
  </si>
  <si>
    <t>Paulínia (SP)</t>
  </si>
  <si>
    <t>Refinaria Henrique Lage</t>
  </si>
  <si>
    <t>REVAP</t>
  </si>
  <si>
    <t>São José dos Campos (SP)</t>
  </si>
  <si>
    <t>69.000 mil m³/dia ou 434 mil bbl/d.</t>
  </si>
  <si>
    <t>diesel, gasolina, QAV, GLP, óleo combustível, asfalto, nafta, raro, coque, propeno, enxofre, fluidos hidrogenados.</t>
  </si>
  <si>
    <t>40.000 m³/d ou 252.000 bbl/d</t>
  </si>
  <si>
    <t>asfalto diluído, cimento asfáltico, coque, enxofre, gás carbônico, gasolina, GLP, hidrocarboneto leve de refinaria (HLR), nafta, óleo combustível, óleo diesel, propeno, QAV e solvente médio.</t>
  </si>
  <si>
    <t>230 mil barris/dia</t>
  </si>
  <si>
    <t>capacity</t>
  </si>
  <si>
    <t>owner</t>
  </si>
  <si>
    <t>List of refineries Petrobras:</t>
  </si>
  <si>
    <t>https://www.petrobras.com.br/quem-somos/refino</t>
  </si>
  <si>
    <t>Petrobras</t>
  </si>
  <si>
    <t>Acelen</t>
  </si>
  <si>
    <t>Forbes Resources Brazil Holding S.A. (F&amp;M Brazil)</t>
  </si>
  <si>
    <t>REAM</t>
  </si>
  <si>
    <t>Ream</t>
  </si>
  <si>
    <t>state</t>
  </si>
  <si>
    <t>RN</t>
  </si>
  <si>
    <t>BA</t>
  </si>
  <si>
    <t>RJ</t>
  </si>
  <si>
    <t>RS</t>
  </si>
  <si>
    <t>MG</t>
  </si>
  <si>
    <t>PR</t>
  </si>
  <si>
    <t>SP</t>
  </si>
  <si>
    <t>Guamaré</t>
  </si>
  <si>
    <t>Camaçari</t>
  </si>
  <si>
    <t>Canoas</t>
  </si>
  <si>
    <t>Betim</t>
  </si>
  <si>
    <t>Manaus</t>
  </si>
  <si>
    <t>Araucária</t>
  </si>
  <si>
    <t>Paulínia</t>
  </si>
  <si>
    <t>Duque de Caxias</t>
  </si>
  <si>
    <t>São José dos Campos</t>
  </si>
  <si>
    <t>MA</t>
  </si>
  <si>
    <t>Latitude</t>
  </si>
  <si>
    <t>Longitude</t>
  </si>
  <si>
    <t>Capacity m3 year</t>
  </si>
  <si>
    <t>6,000 m3/dia de petróleo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</si>
</sst>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2754-AA15-43B2-A0CD-89FE269366A3}">
  <dimension ref="A1:L10"/>
  <sheetViews>
    <sheetView tabSelected="1" workbookViewId="0">
      <selection activeCell="J22" sqref="J22"/>
    </sheetView>
  </sheetViews>
  <sheetFormatPr defaultColWidth="8.875" defaultRowHeight="14.25"/>
  <cols>
    <col min="1" max="1" width="14.75" style="1" customWidth="1"/>
    <col min="2" max="2" width="7.625" style="1" customWidth="1"/>
    <col min="3" max="3" width="8.875" style="1"/>
    <col min="4" max="4" width="30.25" style="1" customWidth="1"/>
    <col min="5" max="5" width="18.625" style="1" customWidth="1"/>
    <col min="6" max="6" width="4.875" style="1" bestFit="1" customWidth="1"/>
    <col min="7" max="8" width="11.625" style="1" customWidth="1"/>
    <col min="9" max="9" width="16.625" style="1" bestFit="1" customWidth="1"/>
    <col min="10" max="10" width="30.25" style="1" customWidth="1"/>
    <col min="11" max="11" width="23.125" customWidth="1"/>
    <col min="12" max="12" width="30.25" style="1" customWidth="1"/>
    <col min="13" max="16384" width="8.875" style="1"/>
  </cols>
  <sheetData>
    <row r="1" spans="1:12" ht="12.75">
      <c r="A1" s="1" t="s">
        <v>3</v>
      </c>
      <c r="B1" s="1" t="s">
        <v>2</v>
      </c>
      <c r="C1" s="1" t="s">
        <v>83</v>
      </c>
      <c r="D1" s="1" t="s">
        <v>7</v>
      </c>
      <c r="E1" s="1" t="s">
        <v>6</v>
      </c>
      <c r="F1" s="1" t="s">
        <v>91</v>
      </c>
      <c r="G1" s="1" t="s">
        <v>109</v>
      </c>
      <c r="H1" s="1" t="s">
        <v>110</v>
      </c>
      <c r="I1" s="1" t="s">
        <v>14</v>
      </c>
      <c r="J1" s="1" t="s">
        <v>82</v>
      </c>
      <c r="K1" s="1" t="s">
        <v>111</v>
      </c>
      <c r="L1" s="1" t="s">
        <v>9</v>
      </c>
    </row>
    <row r="2" spans="1:12">
      <c r="A2" s="1" t="s">
        <v>11</v>
      </c>
      <c r="B2" s="1" t="s">
        <v>12</v>
      </c>
      <c r="C2" s="1" t="s">
        <v>86</v>
      </c>
      <c r="D2" s="1" t="s">
        <v>13</v>
      </c>
      <c r="E2" s="1" t="s">
        <v>99</v>
      </c>
      <c r="F2" s="1" t="s">
        <v>92</v>
      </c>
      <c r="G2" s="1">
        <v>-5.1332645000000001</v>
      </c>
      <c r="H2" s="1">
        <v>-36.388499299999999</v>
      </c>
      <c r="I2" s="1">
        <v>2009</v>
      </c>
      <c r="J2" s="1" t="s">
        <v>112</v>
      </c>
      <c r="K2">
        <f>6000*365</f>
        <v>2190000</v>
      </c>
      <c r="L2" s="2" t="s">
        <v>16</v>
      </c>
    </row>
    <row r="3" spans="1:12">
      <c r="A3" s="1" t="s">
        <v>22</v>
      </c>
      <c r="B3" s="1" t="s">
        <v>23</v>
      </c>
      <c r="C3" s="1" t="s">
        <v>87</v>
      </c>
      <c r="D3" s="1" t="s">
        <v>24</v>
      </c>
      <c r="E3" s="1" t="s">
        <v>100</v>
      </c>
      <c r="F3" s="1" t="s">
        <v>93</v>
      </c>
      <c r="G3" s="1">
        <v>-12.640860399999999</v>
      </c>
      <c r="H3" s="1">
        <v>-38.550414799999999</v>
      </c>
      <c r="I3" s="1">
        <v>1950</v>
      </c>
      <c r="J3" s="1" t="s">
        <v>25</v>
      </c>
      <c r="K3">
        <f>51352*365</f>
        <v>18743480</v>
      </c>
      <c r="L3" s="2" t="s">
        <v>26</v>
      </c>
    </row>
    <row r="4" spans="1:12">
      <c r="A4" s="1" t="s">
        <v>37</v>
      </c>
      <c r="B4" s="1" t="s">
        <v>38</v>
      </c>
      <c r="C4" s="1" t="s">
        <v>86</v>
      </c>
      <c r="D4" s="1" t="s">
        <v>39</v>
      </c>
      <c r="E4" s="1" t="s">
        <v>106</v>
      </c>
      <c r="F4" s="1" t="s">
        <v>94</v>
      </c>
      <c r="G4" s="1">
        <v>-22.714908900000001</v>
      </c>
      <c r="H4" s="1">
        <v>-43.290446799999998</v>
      </c>
      <c r="I4" s="1">
        <v>1961</v>
      </c>
      <c r="J4" s="1" t="s">
        <v>40</v>
      </c>
      <c r="K4">
        <f>38000*365</f>
        <v>13870000</v>
      </c>
      <c r="L4" s="2" t="s">
        <v>41</v>
      </c>
    </row>
    <row r="5" spans="1:12">
      <c r="A5" s="1" t="s">
        <v>42</v>
      </c>
      <c r="B5" s="1" t="s">
        <v>43</v>
      </c>
      <c r="C5" s="1" t="s">
        <v>86</v>
      </c>
      <c r="D5" s="1" t="s">
        <v>44</v>
      </c>
      <c r="E5" s="1" t="s">
        <v>101</v>
      </c>
      <c r="F5" s="1" t="s">
        <v>95</v>
      </c>
      <c r="G5" s="1">
        <v>-29.8698379</v>
      </c>
      <c r="H5" s="1">
        <v>-51.180230700000003</v>
      </c>
      <c r="I5" s="1">
        <v>1968</v>
      </c>
      <c r="J5" s="1" t="s">
        <v>45</v>
      </c>
      <c r="K5">
        <f>32000*365</f>
        <v>11680000</v>
      </c>
      <c r="L5" s="2" t="s">
        <v>46</v>
      </c>
    </row>
    <row r="6" spans="1:12">
      <c r="A6" s="1" t="s">
        <v>52</v>
      </c>
      <c r="B6" s="1" t="s">
        <v>53</v>
      </c>
      <c r="C6" s="1" t="s">
        <v>86</v>
      </c>
      <c r="D6" s="1" t="s">
        <v>54</v>
      </c>
      <c r="E6" s="1" t="s">
        <v>102</v>
      </c>
      <c r="F6" s="1" t="s">
        <v>96</v>
      </c>
      <c r="G6" s="1">
        <v>-19.972168400000001</v>
      </c>
      <c r="H6" s="1">
        <v>-44.105536299999997</v>
      </c>
      <c r="I6" s="1">
        <v>1968</v>
      </c>
      <c r="J6" s="1" t="s">
        <v>55</v>
      </c>
      <c r="K6">
        <f>24000*365</f>
        <v>8760000</v>
      </c>
      <c r="L6" s="2" t="s">
        <v>56</v>
      </c>
    </row>
    <row r="7" spans="1:12">
      <c r="A7" s="1" t="s">
        <v>57</v>
      </c>
      <c r="B7" s="1" t="s">
        <v>89</v>
      </c>
      <c r="C7" s="1" t="s">
        <v>90</v>
      </c>
      <c r="D7" s="1" t="s">
        <v>58</v>
      </c>
      <c r="E7" s="1" t="s">
        <v>103</v>
      </c>
      <c r="F7" s="1" t="s">
        <v>108</v>
      </c>
      <c r="G7" s="1">
        <v>-3.1435027</v>
      </c>
      <c r="H7" s="1">
        <v>-59.956406700000002</v>
      </c>
      <c r="I7" s="1">
        <v>1956</v>
      </c>
      <c r="J7" s="1" t="s">
        <v>59</v>
      </c>
      <c r="K7">
        <f>46000*365*0.159</f>
        <v>2669610</v>
      </c>
      <c r="L7" s="2" t="s">
        <v>60</v>
      </c>
    </row>
    <row r="8" spans="1:12">
      <c r="A8" s="1" t="s">
        <v>61</v>
      </c>
      <c r="B8" s="1" t="s">
        <v>62</v>
      </c>
      <c r="C8" s="1" t="s">
        <v>86</v>
      </c>
      <c r="D8" s="1" t="s">
        <v>63</v>
      </c>
      <c r="E8" s="1" t="s">
        <v>104</v>
      </c>
      <c r="F8" s="1" t="s">
        <v>97</v>
      </c>
      <c r="G8" s="1">
        <v>-25.5649753</v>
      </c>
      <c r="H8" s="1">
        <v>-49.370727100000003</v>
      </c>
      <c r="I8" s="1">
        <v>1977</v>
      </c>
      <c r="J8" s="1" t="s">
        <v>64</v>
      </c>
      <c r="K8">
        <f>33000*365</f>
        <v>12045000</v>
      </c>
      <c r="L8" s="2" t="s">
        <v>65</v>
      </c>
    </row>
    <row r="9" spans="1:12">
      <c r="A9" s="1" t="s">
        <v>71</v>
      </c>
      <c r="B9" s="1" t="s">
        <v>72</v>
      </c>
      <c r="C9" s="1" t="s">
        <v>86</v>
      </c>
      <c r="D9" s="1" t="s">
        <v>73</v>
      </c>
      <c r="E9" s="1" t="s">
        <v>105</v>
      </c>
      <c r="F9" s="1" t="s">
        <v>98</v>
      </c>
      <c r="G9" s="1">
        <v>-22.729475600000001</v>
      </c>
      <c r="H9" s="1">
        <v>-47.150444499999999</v>
      </c>
      <c r="I9" s="1">
        <v>1972</v>
      </c>
      <c r="J9" s="1" t="s">
        <v>77</v>
      </c>
      <c r="K9">
        <f>69000*365</f>
        <v>25185000</v>
      </c>
      <c r="L9" s="2" t="s">
        <v>78</v>
      </c>
    </row>
    <row r="10" spans="1:12">
      <c r="A10" s="1" t="s">
        <v>74</v>
      </c>
      <c r="B10" s="1" t="s">
        <v>75</v>
      </c>
      <c r="C10" s="1" t="s">
        <v>86</v>
      </c>
      <c r="D10" s="1" t="s">
        <v>76</v>
      </c>
      <c r="E10" s="1" t="s">
        <v>107</v>
      </c>
      <c r="F10" s="1" t="s">
        <v>98</v>
      </c>
      <c r="G10" s="1">
        <v>-23.184583700000001</v>
      </c>
      <c r="H10" s="1">
        <v>-45.818144599999997</v>
      </c>
      <c r="I10" s="1">
        <v>1980</v>
      </c>
      <c r="J10" s="1" t="s">
        <v>79</v>
      </c>
      <c r="K10">
        <f>40000*365</f>
        <v>14600000</v>
      </c>
      <c r="L10" s="2" t="s">
        <v>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CEE-A25F-4BCA-A01F-38E2C3EA79FD}">
  <dimension ref="A1:G16"/>
  <sheetViews>
    <sheetView workbookViewId="0">
      <selection activeCell="E1" sqref="E1:E1048576"/>
    </sheetView>
  </sheetViews>
  <sheetFormatPr defaultColWidth="8.875" defaultRowHeight="12.75"/>
  <cols>
    <col min="1" max="1" width="19.125" style="1" bestFit="1" customWidth="1"/>
    <col min="2" max="3" width="8.875" style="1"/>
    <col min="4" max="4" width="30.25" style="1" customWidth="1"/>
    <col min="5" max="5" width="16.625" style="1" bestFit="1" customWidth="1"/>
    <col min="6" max="7" width="30.25" style="1" customWidth="1"/>
    <col min="8" max="16384" width="8.875" style="1"/>
  </cols>
  <sheetData>
    <row r="1" spans="1:7">
      <c r="A1" s="1" t="s">
        <v>3</v>
      </c>
      <c r="B1" s="1" t="s">
        <v>2</v>
      </c>
      <c r="C1" s="1" t="s">
        <v>83</v>
      </c>
      <c r="D1" s="1" t="s">
        <v>7</v>
      </c>
      <c r="E1" s="1" t="s">
        <v>14</v>
      </c>
      <c r="F1" s="1" t="s">
        <v>82</v>
      </c>
      <c r="G1" s="1" t="s">
        <v>9</v>
      </c>
    </row>
    <row r="2" spans="1:7">
      <c r="A2" s="1" t="s">
        <v>4</v>
      </c>
      <c r="B2" s="1" t="s">
        <v>5</v>
      </c>
      <c r="C2" s="1" t="s">
        <v>86</v>
      </c>
      <c r="D2" s="1" t="s">
        <v>8</v>
      </c>
      <c r="E2" s="1">
        <v>2014</v>
      </c>
      <c r="F2" s="1" t="s">
        <v>81</v>
      </c>
      <c r="G2" s="1" t="s">
        <v>10</v>
      </c>
    </row>
    <row r="3" spans="1:7">
      <c r="A3" s="1" t="s">
        <v>11</v>
      </c>
      <c r="B3" s="1" t="s">
        <v>12</v>
      </c>
      <c r="D3" s="1" t="s">
        <v>13</v>
      </c>
      <c r="E3" s="1">
        <v>2009</v>
      </c>
      <c r="F3" s="1" t="s">
        <v>15</v>
      </c>
      <c r="G3" s="2" t="s">
        <v>16</v>
      </c>
    </row>
    <row r="4" spans="1:7">
      <c r="A4" s="1" t="s">
        <v>17</v>
      </c>
      <c r="B4" s="1" t="s">
        <v>18</v>
      </c>
      <c r="C4" s="1" t="s">
        <v>86</v>
      </c>
      <c r="D4" s="1" t="s">
        <v>19</v>
      </c>
      <c r="E4" s="1">
        <v>2022</v>
      </c>
      <c r="F4" s="1" t="s">
        <v>20</v>
      </c>
      <c r="G4" s="1" t="s">
        <v>21</v>
      </c>
    </row>
    <row r="5" spans="1:7">
      <c r="A5" s="1" t="s">
        <v>22</v>
      </c>
      <c r="B5" s="1" t="s">
        <v>23</v>
      </c>
      <c r="C5" s="1" t="s">
        <v>87</v>
      </c>
      <c r="D5" s="1" t="s">
        <v>24</v>
      </c>
      <c r="E5" s="1">
        <v>1950</v>
      </c>
      <c r="F5" s="1" t="s">
        <v>25</v>
      </c>
      <c r="G5" s="2" t="s">
        <v>26</v>
      </c>
    </row>
    <row r="6" spans="1:7">
      <c r="A6" s="1" t="s">
        <v>27</v>
      </c>
      <c r="B6" s="1" t="s">
        <v>28</v>
      </c>
      <c r="C6" s="1" t="s">
        <v>86</v>
      </c>
      <c r="D6" s="1" t="s">
        <v>29</v>
      </c>
      <c r="E6" s="1">
        <v>1966</v>
      </c>
      <c r="F6" s="1" t="s">
        <v>30</v>
      </c>
      <c r="G6" s="1" t="s">
        <v>31</v>
      </c>
    </row>
    <row r="7" spans="1:7">
      <c r="A7" s="1" t="s">
        <v>32</v>
      </c>
      <c r="B7" s="1" t="s">
        <v>33</v>
      </c>
      <c r="C7" s="1" t="s">
        <v>86</v>
      </c>
      <c r="D7" s="1" t="s">
        <v>34</v>
      </c>
      <c r="E7" s="1">
        <v>1974</v>
      </c>
      <c r="F7" s="1" t="s">
        <v>35</v>
      </c>
      <c r="G7" s="1" t="s">
        <v>36</v>
      </c>
    </row>
    <row r="8" spans="1:7">
      <c r="A8" s="1" t="s">
        <v>37</v>
      </c>
      <c r="B8" s="1" t="s">
        <v>38</v>
      </c>
      <c r="C8" s="1" t="s">
        <v>86</v>
      </c>
      <c r="D8" s="1" t="s">
        <v>39</v>
      </c>
      <c r="E8" s="1">
        <v>1961</v>
      </c>
      <c r="F8" s="1" t="s">
        <v>40</v>
      </c>
      <c r="G8" s="2" t="s">
        <v>41</v>
      </c>
    </row>
    <row r="9" spans="1:7">
      <c r="A9" s="1" t="s">
        <v>42</v>
      </c>
      <c r="B9" s="1" t="s">
        <v>43</v>
      </c>
      <c r="C9" s="1" t="s">
        <v>86</v>
      </c>
      <c r="D9" s="1" t="s">
        <v>44</v>
      </c>
      <c r="E9" s="1">
        <v>1968</v>
      </c>
      <c r="F9" s="1" t="s">
        <v>45</v>
      </c>
      <c r="G9" s="2" t="s">
        <v>46</v>
      </c>
    </row>
    <row r="10" spans="1:7">
      <c r="A10" s="1" t="s">
        <v>47</v>
      </c>
      <c r="B10" s="1" t="s">
        <v>48</v>
      </c>
      <c r="C10" s="1" t="s">
        <v>88</v>
      </c>
      <c r="D10" s="1" t="s">
        <v>49</v>
      </c>
      <c r="E10" s="1">
        <v>1972</v>
      </c>
      <c r="F10" s="1" t="s">
        <v>50</v>
      </c>
      <c r="G10" s="1" t="s">
        <v>51</v>
      </c>
    </row>
    <row r="11" spans="1:7">
      <c r="A11" s="1" t="s">
        <v>52</v>
      </c>
      <c r="B11" s="1" t="s">
        <v>53</v>
      </c>
      <c r="C11" s="1" t="s">
        <v>86</v>
      </c>
      <c r="D11" s="1" t="s">
        <v>54</v>
      </c>
      <c r="E11" s="1">
        <v>1968</v>
      </c>
      <c r="F11" s="1" t="s">
        <v>55</v>
      </c>
      <c r="G11" s="2" t="s">
        <v>56</v>
      </c>
    </row>
    <row r="12" spans="1:7">
      <c r="A12" s="1" t="s">
        <v>57</v>
      </c>
      <c r="B12" s="1" t="s">
        <v>89</v>
      </c>
      <c r="C12" s="1" t="s">
        <v>90</v>
      </c>
      <c r="D12" s="1" t="s">
        <v>58</v>
      </c>
      <c r="E12" s="1">
        <v>1956</v>
      </c>
      <c r="F12" s="1" t="s">
        <v>59</v>
      </c>
      <c r="G12" s="2" t="s">
        <v>60</v>
      </c>
    </row>
    <row r="13" spans="1:7">
      <c r="A13" s="1" t="s">
        <v>61</v>
      </c>
      <c r="B13" s="1" t="s">
        <v>62</v>
      </c>
      <c r="C13" s="1" t="s">
        <v>86</v>
      </c>
      <c r="D13" s="1" t="s">
        <v>63</v>
      </c>
      <c r="E13" s="1">
        <v>1977</v>
      </c>
      <c r="F13" s="1" t="s">
        <v>64</v>
      </c>
      <c r="G13" s="2" t="s">
        <v>65</v>
      </c>
    </row>
    <row r="14" spans="1:7">
      <c r="A14" s="1" t="s">
        <v>66</v>
      </c>
      <c r="B14" s="1" t="s">
        <v>67</v>
      </c>
      <c r="C14" s="1" t="s">
        <v>86</v>
      </c>
      <c r="D14" s="1" t="s">
        <v>68</v>
      </c>
      <c r="E14" s="1">
        <v>1955</v>
      </c>
      <c r="F14" s="1" t="s">
        <v>69</v>
      </c>
      <c r="G14" s="1" t="s">
        <v>70</v>
      </c>
    </row>
    <row r="15" spans="1:7">
      <c r="A15" s="1" t="s">
        <v>71</v>
      </c>
      <c r="B15" s="1" t="s">
        <v>72</v>
      </c>
      <c r="C15" s="1" t="s">
        <v>86</v>
      </c>
      <c r="D15" s="1" t="s">
        <v>73</v>
      </c>
      <c r="E15" s="1">
        <v>1972</v>
      </c>
      <c r="F15" s="1" t="s">
        <v>77</v>
      </c>
      <c r="G15" s="2" t="s">
        <v>78</v>
      </c>
    </row>
    <row r="16" spans="1:7">
      <c r="A16" s="1" t="s">
        <v>74</v>
      </c>
      <c r="B16" s="1" t="s">
        <v>75</v>
      </c>
      <c r="C16" s="1" t="s">
        <v>86</v>
      </c>
      <c r="D16" s="1" t="s">
        <v>76</v>
      </c>
      <c r="E16" s="1">
        <v>1980</v>
      </c>
      <c r="F16" s="1" t="s">
        <v>79</v>
      </c>
      <c r="G16" s="2" t="s">
        <v>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0A28-EB08-4597-B013-3495D6361777}">
  <dimension ref="A1:A5"/>
  <sheetViews>
    <sheetView workbookViewId="0">
      <selection activeCell="A5" sqref="A5"/>
    </sheetView>
  </sheetViews>
  <sheetFormatPr defaultRowHeight="14.25"/>
  <sheetData>
    <row r="1" spans="1:1">
      <c r="A1" t="s">
        <v>0</v>
      </c>
    </row>
    <row r="2" spans="1:1">
      <c r="A2" t="s">
        <v>1</v>
      </c>
    </row>
    <row r="4" spans="1:1">
      <c r="A4" t="s">
        <v>84</v>
      </c>
    </row>
    <row r="5" spans="1:1">
      <c r="A5" t="s">
        <v>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QAVref</vt:lpstr>
      <vt:lpstr>all_refineries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Veronese da Silva</dc:creator>
  <cp:lastModifiedBy>Madelynn Watson</cp:lastModifiedBy>
  <dcterms:created xsi:type="dcterms:W3CDTF">2025-02-11T12:51:46Z</dcterms:created>
  <dcterms:modified xsi:type="dcterms:W3CDTF">2025-06-04T15:31:56Z</dcterms:modified>
</cp:coreProperties>
</file>