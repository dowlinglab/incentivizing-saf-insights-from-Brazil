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die\Documents\GitHub\C2C_Project\Supply_Chain_Model\"/>
    </mc:Choice>
  </mc:AlternateContent>
  <xr:revisionPtr revIDLastSave="0" documentId="13_ncr:1_{0C468CBD-AF6F-4EEA-B00E-C859981F280A}" xr6:coauthVersionLast="47" xr6:coauthVersionMax="47" xr10:uidLastSave="{00000000-0000-0000-0000-000000000000}"/>
  <bookViews>
    <workbookView xWindow="19785" yWindow="2970" windowWidth="27000" windowHeight="15345" xr2:uid="{00000000-000D-0000-FFFF-FFFF00000000}"/>
  </bookViews>
  <sheets>
    <sheet name="Aeroportos" sheetId="1" r:id="rId1"/>
    <sheet name="ABC Dema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14" i="2"/>
  <c r="C5" i="2"/>
  <c r="C12" i="2"/>
  <c r="C4" i="2"/>
  <c r="C7" i="2"/>
  <c r="C9" i="2"/>
  <c r="C10" i="2"/>
  <c r="C15" i="2"/>
  <c r="C26" i="2"/>
  <c r="C28" i="2"/>
  <c r="C8" i="2"/>
  <c r="C27" i="2"/>
  <c r="C11" i="2"/>
  <c r="C35" i="2"/>
  <c r="C20" i="2"/>
  <c r="C29" i="2"/>
  <c r="C13" i="2"/>
  <c r="C36" i="2"/>
  <c r="C24" i="2"/>
  <c r="C16" i="2"/>
  <c r="C25" i="2"/>
  <c r="C38" i="2"/>
  <c r="C33" i="2"/>
  <c r="C18" i="2"/>
  <c r="C37" i="2"/>
  <c r="C30" i="2"/>
  <c r="C17" i="2"/>
  <c r="C23" i="2"/>
  <c r="C19" i="2"/>
  <c r="C31" i="2"/>
  <c r="C32" i="2"/>
  <c r="C21" i="2"/>
  <c r="C34" i="2"/>
  <c r="C22" i="2"/>
  <c r="C3" i="2"/>
  <c r="B14" i="2"/>
  <c r="B5" i="2"/>
  <c r="B12" i="2"/>
  <c r="B4" i="2"/>
  <c r="B7" i="2"/>
  <c r="B9" i="2"/>
  <c r="B10" i="2"/>
  <c r="B15" i="2"/>
  <c r="B26" i="2"/>
  <c r="B28" i="2"/>
  <c r="B8" i="2"/>
  <c r="B27" i="2"/>
  <c r="B11" i="2"/>
  <c r="B35" i="2"/>
  <c r="B20" i="2"/>
  <c r="B29" i="2"/>
  <c r="B13" i="2"/>
  <c r="B36" i="2"/>
  <c r="B24" i="2"/>
  <c r="B16" i="2"/>
  <c r="B25" i="2"/>
  <c r="B38" i="2"/>
  <c r="B33" i="2"/>
  <c r="B18" i="2"/>
  <c r="B37" i="2"/>
  <c r="B30" i="2"/>
  <c r="B17" i="2"/>
  <c r="B23" i="2"/>
  <c r="B19" i="2"/>
  <c r="B31" i="2"/>
  <c r="B32" i="2"/>
  <c r="B21" i="2"/>
  <c r="B34" i="2"/>
  <c r="B22" i="2"/>
  <c r="B6" i="2"/>
  <c r="B3" i="2"/>
  <c r="C40" i="2" l="1"/>
  <c r="D35" i="2" s="1"/>
  <c r="D4" i="2" l="1"/>
  <c r="D9" i="2"/>
  <c r="D27" i="2"/>
  <c r="D14" i="2"/>
  <c r="D13" i="2"/>
  <c r="D37" i="2"/>
  <c r="D36" i="2"/>
  <c r="D12" i="2"/>
  <c r="D8" i="2"/>
  <c r="D24" i="2"/>
  <c r="D17" i="2"/>
  <c r="D3" i="2"/>
  <c r="E3" i="2" s="1"/>
  <c r="D28" i="2"/>
  <c r="D5" i="2"/>
  <c r="D22" i="2"/>
  <c r="D34" i="2"/>
  <c r="D26" i="2"/>
  <c r="D30" i="2"/>
  <c r="D16" i="2"/>
  <c r="D38" i="2"/>
  <c r="D6" i="2"/>
  <c r="D23" i="2"/>
  <c r="D31" i="2"/>
  <c r="D15" i="2"/>
  <c r="D7" i="2"/>
  <c r="D10" i="2"/>
  <c r="D29" i="2"/>
  <c r="D11" i="2"/>
  <c r="D20" i="2"/>
  <c r="D18" i="2"/>
  <c r="D25" i="2"/>
  <c r="D33" i="2"/>
  <c r="D21" i="2"/>
  <c r="D19" i="2"/>
  <c r="D32" i="2"/>
  <c r="E4" i="2" l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</calcChain>
</file>

<file path=xl/sharedStrings.xml><?xml version="1.0" encoding="utf-8"?>
<sst xmlns="http://schemas.openxmlformats.org/spreadsheetml/2006/main" count="158" uniqueCount="138">
  <si>
    <t>ICAO</t>
  </si>
  <si>
    <t>CIDADE</t>
  </si>
  <si>
    <t>ESTADO</t>
  </si>
  <si>
    <t>SBMO</t>
  </si>
  <si>
    <t>AL</t>
  </si>
  <si>
    <t>SBSL</t>
  </si>
  <si>
    <t>MA</t>
  </si>
  <si>
    <t xml:space="preserve">SBGR  </t>
  </si>
  <si>
    <t xml:space="preserve">SBBR  </t>
  </si>
  <si>
    <t xml:space="preserve">SBCF  </t>
  </si>
  <si>
    <t xml:space="preserve">SBKP  </t>
  </si>
  <si>
    <t xml:space="preserve">SBGL  </t>
  </si>
  <si>
    <t xml:space="preserve">SBRF  </t>
  </si>
  <si>
    <t xml:space="preserve">SBSV  </t>
  </si>
  <si>
    <t xml:space="preserve">SBPA  </t>
  </si>
  <si>
    <t xml:space="preserve">SBFL  </t>
  </si>
  <si>
    <t xml:space="preserve">SBFZ  </t>
  </si>
  <si>
    <t xml:space="preserve">SBCT  </t>
  </si>
  <si>
    <t xml:space="preserve">SBJP  </t>
  </si>
  <si>
    <t xml:space="preserve">SBCY  </t>
  </si>
  <si>
    <t xml:space="preserve">SBGO  </t>
  </si>
  <si>
    <t xml:space="preserve">SBSG  </t>
  </si>
  <si>
    <t xml:space="preserve">SP  </t>
  </si>
  <si>
    <t xml:space="preserve">DF  </t>
  </si>
  <si>
    <t xml:space="preserve">MG  </t>
  </si>
  <si>
    <t xml:space="preserve">RJ  </t>
  </si>
  <si>
    <t xml:space="preserve">PE  </t>
  </si>
  <si>
    <t xml:space="preserve">BA  </t>
  </si>
  <si>
    <t xml:space="preserve">RS  </t>
  </si>
  <si>
    <t xml:space="preserve">SC  </t>
  </si>
  <si>
    <t xml:space="preserve">CE  </t>
  </si>
  <si>
    <t xml:space="preserve">PR  </t>
  </si>
  <si>
    <t xml:space="preserve">PB  </t>
  </si>
  <si>
    <t xml:space="preserve">MT  </t>
  </si>
  <si>
    <t xml:space="preserve">GO  </t>
  </si>
  <si>
    <t xml:space="preserve">RN  </t>
  </si>
  <si>
    <t>Campinas</t>
  </si>
  <si>
    <t>Rio de Janeiro</t>
  </si>
  <si>
    <t>PI</t>
  </si>
  <si>
    <t>Aracaju</t>
  </si>
  <si>
    <t>Campo Grande</t>
  </si>
  <si>
    <t>MS</t>
  </si>
  <si>
    <t>SE</t>
  </si>
  <si>
    <t>ES</t>
  </si>
  <si>
    <t>Cabo Frio</t>
  </si>
  <si>
    <t>Pelotas</t>
  </si>
  <si>
    <t>Uruguaiana</t>
  </si>
  <si>
    <t>Navegantes</t>
  </si>
  <si>
    <t xml:space="preserve">SBPB  </t>
  </si>
  <si>
    <t xml:space="preserve">SBAR  </t>
  </si>
  <si>
    <t xml:space="preserve">SBCG  </t>
  </si>
  <si>
    <t xml:space="preserve">SBCR  </t>
  </si>
  <si>
    <t xml:space="preserve">SBVT  </t>
  </si>
  <si>
    <t xml:space="preserve">SBCB  </t>
  </si>
  <si>
    <t xml:space="preserve">SBFI  </t>
  </si>
  <si>
    <t xml:space="preserve">SBPK  </t>
  </si>
  <si>
    <t xml:space="preserve">SBUG  </t>
  </si>
  <si>
    <t>SBNF</t>
  </si>
  <si>
    <t>Guarulhos</t>
  </si>
  <si>
    <t>Brasilia</t>
  </si>
  <si>
    <t>Confins</t>
  </si>
  <si>
    <t>Recife</t>
  </si>
  <si>
    <t>Salvador</t>
  </si>
  <si>
    <t>Porto Alegre</t>
  </si>
  <si>
    <t>Florianopolis</t>
  </si>
  <si>
    <t>Fortaleza</t>
  </si>
  <si>
    <t>Curitiba</t>
  </si>
  <si>
    <t>Joao Pessoa</t>
  </si>
  <si>
    <t>Cuiaba</t>
  </si>
  <si>
    <t>Goiania</t>
  </si>
  <si>
    <t>Natal</t>
  </si>
  <si>
    <t>Maceio</t>
  </si>
  <si>
    <t>Sao Luis</t>
  </si>
  <si>
    <t>Parnaiba</t>
  </si>
  <si>
    <t>Corumba</t>
  </si>
  <si>
    <t>Vitoria</t>
  </si>
  <si>
    <t>Foz do Iguacu</t>
  </si>
  <si>
    <t>DEMANDA (M^3)</t>
  </si>
  <si>
    <t>Guarulhos - Governador André Franco Montoro</t>
  </si>
  <si>
    <t>Presidente Juscelino Kubitschek</t>
  </si>
  <si>
    <t>Tancredo Neves</t>
  </si>
  <si>
    <t>Aeroporto Internacional de Parnaíba / Prefeito Doutor João Silva Filho</t>
  </si>
  <si>
    <t>Aeroporto Internacional do Rio Grande do Norte / São Gonçalo do Amarante - Governador Aluizio Alves</t>
  </si>
  <si>
    <t>Aeroporto Internacional de Ponta Porã</t>
  </si>
  <si>
    <t>Aeroporto Internacional Senador Nilo Coelho</t>
  </si>
  <si>
    <t>Aeroporto Internacional Afonso Pena</t>
  </si>
  <si>
    <t>RIo de Janeiro/Galeão - Antônio Carlos Jobim</t>
  </si>
  <si>
    <t>Guararapes - Gilberto Freyre Internacional</t>
  </si>
  <si>
    <t>Deputado Luis Eduardo Magalhães-Intl</t>
  </si>
  <si>
    <t>Salgado Filho</t>
  </si>
  <si>
    <t>Pinto Martins</t>
  </si>
  <si>
    <t>Presidente Castro Pinto</t>
  </si>
  <si>
    <t>Marechal Rondon</t>
  </si>
  <si>
    <t>Marechal Cunha Machado Internacional</t>
  </si>
  <si>
    <t>Santa Genoveva</t>
  </si>
  <si>
    <t>Zumbi dos Palmares</t>
  </si>
  <si>
    <t>Campo Grande Internacional</t>
  </si>
  <si>
    <t>Corumbá Internacional</t>
  </si>
  <si>
    <t>Eurico de Aguiar Salles</t>
  </si>
  <si>
    <t>Cataratas</t>
  </si>
  <si>
    <t>João Simões Lopes Neto</t>
  </si>
  <si>
    <t>Rubem Berta</t>
  </si>
  <si>
    <t>Navegantes / Ministro Victor Konder - Internacional</t>
  </si>
  <si>
    <t>Hercílio Luz</t>
  </si>
  <si>
    <t>Santa Maria</t>
  </si>
  <si>
    <t>SBPP</t>
  </si>
  <si>
    <t>Ponta Pora</t>
  </si>
  <si>
    <t>SBPL</t>
  </si>
  <si>
    <t>Petrolina</t>
  </si>
  <si>
    <t>Viracopos</t>
  </si>
  <si>
    <t>Aeroporto</t>
  </si>
  <si>
    <t>Demanda</t>
  </si>
  <si>
    <t>Soma</t>
  </si>
  <si>
    <t>% Individual</t>
  </si>
  <si>
    <t>% Acumulada</t>
  </si>
  <si>
    <t>Latitude</t>
  </si>
  <si>
    <t>Longitude</t>
  </si>
  <si>
    <t>NOME</t>
  </si>
  <si>
    <t>State</t>
  </si>
  <si>
    <t>Distrito Federal</t>
  </si>
  <si>
    <t>Pernambuco</t>
  </si>
  <si>
    <t>Bahia</t>
  </si>
  <si>
    <t>Minas Gerais</t>
  </si>
  <si>
    <t>Santa Catarina</t>
  </si>
  <si>
    <t>Sergipe</t>
  </si>
  <si>
    <t>Alagoas</t>
  </si>
  <si>
    <t>Rio Grande do Norte</t>
  </si>
  <si>
    <t>Mato Grosso</t>
  </si>
  <si>
    <t>Rio Grande do Sul</t>
  </si>
  <si>
    <t>Mato Grosso do Sul</t>
  </si>
  <si>
    <t>SÃ£o Paulo</t>
  </si>
  <si>
    <t>CearÃ¡</t>
  </si>
  <si>
    <t>GoiÃ¡s</t>
  </si>
  <si>
    <t>MaranhÃ£o</t>
  </si>
  <si>
    <t xml:space="preserve">EspÃ­rito Santo </t>
  </si>
  <si>
    <t>ParanÃ¡</t>
  </si>
  <si>
    <t>PiauÃ­</t>
  </si>
  <si>
    <t>ParaÃ­ba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</si>
</sst>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FFF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/>
    <xf numFmtId="0" fontId="3" fillId="2" borderId="0" xfId="0" applyFont="1" applyFill="1"/>
    <xf numFmtId="0" fontId="3" fillId="2" borderId="2" xfId="0" applyFont="1" applyFill="1" applyBorder="1"/>
    <xf numFmtId="0" fontId="0" fillId="3" borderId="3" xfId="0" applyFill="1" applyBorder="1"/>
    <xf numFmtId="164" fontId="0" fillId="3" borderId="4" xfId="0" applyNumberFormat="1" applyFill="1" applyBorder="1"/>
    <xf numFmtId="10" fontId="0" fillId="3" borderId="4" xfId="1" applyNumberFormat="1" applyFont="1" applyFill="1" applyBorder="1"/>
    <xf numFmtId="10" fontId="0" fillId="3" borderId="4" xfId="0" applyNumberFormat="1" applyFill="1" applyBorder="1"/>
    <xf numFmtId="0" fontId="0" fillId="4" borderId="5" xfId="0" applyFill="1" applyBorder="1"/>
    <xf numFmtId="164" fontId="0" fillId="4" borderId="1" xfId="0" applyNumberFormat="1" applyFill="1" applyBorder="1"/>
    <xf numFmtId="10" fontId="0" fillId="4" borderId="1" xfId="1" applyNumberFormat="1" applyFont="1" applyFill="1" applyBorder="1"/>
    <xf numFmtId="10" fontId="0" fillId="4" borderId="1" xfId="0" applyNumberFormat="1" applyFill="1" applyBorder="1"/>
    <xf numFmtId="0" fontId="0" fillId="3" borderId="5" xfId="0" applyFill="1" applyBorder="1"/>
    <xf numFmtId="164" fontId="0" fillId="3" borderId="1" xfId="0" applyNumberFormat="1" applyFill="1" applyBorder="1"/>
    <xf numFmtId="10" fontId="0" fillId="3" borderId="1" xfId="1" applyNumberFormat="1" applyFont="1" applyFill="1" applyBorder="1"/>
    <xf numFmtId="11" fontId="1" fillId="0" borderId="0" xfId="0" applyNumberFormat="1" applyFont="1" applyAlignment="1">
      <alignment horizontal="center" vertical="top"/>
    </xf>
    <xf numFmtId="11" fontId="0" fillId="0" borderId="0" xfId="0" applyNumberFormat="1"/>
    <xf numFmtId="0" fontId="4" fillId="0" borderId="0" xfId="0" applyFont="1"/>
  </cellXfs>
  <cellStyles count="2">
    <cellStyle name="Normal" xfId="0" builtinId="0"/>
    <cellStyle name="Percent" xfId="1" builtinId="5"/>
  </cellStyles>
  <dxfs count="2">
    <dxf>
      <numFmt numFmtId="15" formatCode="0.00E+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ABC Demandas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'ABC Demanda'!$D$2</c:f>
              <c:strCache>
                <c:ptCount val="1"/>
                <c:pt idx="0">
                  <c:v>% Individual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'ABC Demanda'!$B$3:$B$38</c:f>
              <c:strCache>
                <c:ptCount val="36"/>
                <c:pt idx="0">
                  <c:v>Guarulhos</c:v>
                </c:pt>
                <c:pt idx="1">
                  <c:v>Recife</c:v>
                </c:pt>
                <c:pt idx="2">
                  <c:v>Brasilia</c:v>
                </c:pt>
                <c:pt idx="3">
                  <c:v>Rio de Janeiro</c:v>
                </c:pt>
                <c:pt idx="4">
                  <c:v>Fortaleza</c:v>
                </c:pt>
                <c:pt idx="5">
                  <c:v>Confins</c:v>
                </c:pt>
                <c:pt idx="6">
                  <c:v>Salvador</c:v>
                </c:pt>
                <c:pt idx="7">
                  <c:v>Porto Alegre</c:v>
                </c:pt>
                <c:pt idx="8">
                  <c:v>#REF!</c:v>
                </c:pt>
                <c:pt idx="9">
                  <c:v>#REF!</c:v>
                </c:pt>
                <c:pt idx="10">
                  <c:v>Aracaju</c:v>
                </c:pt>
                <c:pt idx="11">
                  <c:v>Campinas</c:v>
                </c:pt>
                <c:pt idx="12">
                  <c:v>Goiania</c:v>
                </c:pt>
                <c:pt idx="13">
                  <c:v>Petrolina</c:v>
                </c:pt>
                <c:pt idx="14">
                  <c:v>Corumba</c:v>
                </c:pt>
                <c:pt idx="15">
                  <c:v>Maceio</c:v>
                </c:pt>
                <c:pt idx="16">
                  <c:v>Uruguaiana</c:v>
                </c:pt>
                <c:pt idx="17">
                  <c:v>#REF!</c:v>
                </c:pt>
                <c:pt idx="18">
                  <c:v>Joao Pessoa</c:v>
                </c:pt>
                <c:pt idx="19">
                  <c:v>Campo Grande</c:v>
                </c:pt>
                <c:pt idx="20">
                  <c:v>Pelotas</c:v>
                </c:pt>
                <c:pt idx="21">
                  <c:v>Navegantes</c:v>
                </c:pt>
                <c:pt idx="22">
                  <c:v>#REF!</c:v>
                </c:pt>
                <c:pt idx="23">
                  <c:v>#REF!</c:v>
                </c:pt>
                <c:pt idx="24">
                  <c:v>Florianopolis</c:v>
                </c:pt>
                <c:pt idx="25">
                  <c:v>#REF!</c:v>
                </c:pt>
                <c:pt idx="26">
                  <c:v>Vitoria</c:v>
                </c:pt>
                <c:pt idx="27">
                  <c:v>Cuiaba</c:v>
                </c:pt>
                <c:pt idx="28">
                  <c:v>Parnaiba</c:v>
                </c:pt>
                <c:pt idx="29">
                  <c:v>Ponta Pora</c:v>
                </c:pt>
                <c:pt idx="30">
                  <c:v>Cabo Frio</c:v>
                </c:pt>
                <c:pt idx="31">
                  <c:v>Natal</c:v>
                </c:pt>
                <c:pt idx="32">
                  <c:v>Sao Luis</c:v>
                </c:pt>
                <c:pt idx="33">
                  <c:v>Foz do Iguacu</c:v>
                </c:pt>
                <c:pt idx="34">
                  <c:v>Curitiba</c:v>
                </c:pt>
                <c:pt idx="35">
                  <c:v>#REF!</c:v>
                </c:pt>
              </c:strCache>
            </c:strRef>
          </c:cat>
          <c:val>
            <c:numRef>
              <c:f>'ABC Demanda'!$D$3:$D$38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E-4522-BF9A-39E48C781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66976"/>
        <c:axId val="200267392"/>
      </c:barChart>
      <c:lineChart>
        <c:grouping val="standard"/>
        <c:varyColors val="0"/>
        <c:ser>
          <c:idx val="1"/>
          <c:order val="1"/>
          <c:tx>
            <c:strRef>
              <c:f>'ABC Demanda'!$E$2</c:f>
              <c:strCache>
                <c:ptCount val="1"/>
                <c:pt idx="0">
                  <c:v>%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'ABC Demanda'!$B$3:$B$38</c:f>
              <c:strCache>
                <c:ptCount val="36"/>
                <c:pt idx="0">
                  <c:v>Guarulhos</c:v>
                </c:pt>
                <c:pt idx="1">
                  <c:v>Recife</c:v>
                </c:pt>
                <c:pt idx="2">
                  <c:v>Brasilia</c:v>
                </c:pt>
                <c:pt idx="3">
                  <c:v>Rio de Janeiro</c:v>
                </c:pt>
                <c:pt idx="4">
                  <c:v>Fortaleza</c:v>
                </c:pt>
                <c:pt idx="5">
                  <c:v>Confins</c:v>
                </c:pt>
                <c:pt idx="6">
                  <c:v>Salvador</c:v>
                </c:pt>
                <c:pt idx="7">
                  <c:v>Porto Alegre</c:v>
                </c:pt>
                <c:pt idx="8">
                  <c:v>#REF!</c:v>
                </c:pt>
                <c:pt idx="9">
                  <c:v>#REF!</c:v>
                </c:pt>
                <c:pt idx="10">
                  <c:v>Aracaju</c:v>
                </c:pt>
                <c:pt idx="11">
                  <c:v>Campinas</c:v>
                </c:pt>
                <c:pt idx="12">
                  <c:v>Goiania</c:v>
                </c:pt>
                <c:pt idx="13">
                  <c:v>Petrolina</c:v>
                </c:pt>
                <c:pt idx="14">
                  <c:v>Corumba</c:v>
                </c:pt>
                <c:pt idx="15">
                  <c:v>Maceio</c:v>
                </c:pt>
                <c:pt idx="16">
                  <c:v>Uruguaiana</c:v>
                </c:pt>
                <c:pt idx="17">
                  <c:v>#REF!</c:v>
                </c:pt>
                <c:pt idx="18">
                  <c:v>Joao Pessoa</c:v>
                </c:pt>
                <c:pt idx="19">
                  <c:v>Campo Grande</c:v>
                </c:pt>
                <c:pt idx="20">
                  <c:v>Pelotas</c:v>
                </c:pt>
                <c:pt idx="21">
                  <c:v>Navegantes</c:v>
                </c:pt>
                <c:pt idx="22">
                  <c:v>#REF!</c:v>
                </c:pt>
                <c:pt idx="23">
                  <c:v>#REF!</c:v>
                </c:pt>
                <c:pt idx="24">
                  <c:v>Florianopolis</c:v>
                </c:pt>
                <c:pt idx="25">
                  <c:v>#REF!</c:v>
                </c:pt>
                <c:pt idx="26">
                  <c:v>Vitoria</c:v>
                </c:pt>
                <c:pt idx="27">
                  <c:v>Cuiaba</c:v>
                </c:pt>
                <c:pt idx="28">
                  <c:v>Parnaiba</c:v>
                </c:pt>
                <c:pt idx="29">
                  <c:v>Ponta Pora</c:v>
                </c:pt>
                <c:pt idx="30">
                  <c:v>Cabo Frio</c:v>
                </c:pt>
                <c:pt idx="31">
                  <c:v>Natal</c:v>
                </c:pt>
                <c:pt idx="32">
                  <c:v>Sao Luis</c:v>
                </c:pt>
                <c:pt idx="33">
                  <c:v>Foz do Iguacu</c:v>
                </c:pt>
                <c:pt idx="34">
                  <c:v>Curitiba</c:v>
                </c:pt>
                <c:pt idx="35">
                  <c:v>#REF!</c:v>
                </c:pt>
              </c:strCache>
            </c:strRef>
          </c:cat>
          <c:val>
            <c:numRef>
              <c:f>'ABC Demanda'!$E$3:$E$38</c:f>
              <c:numCache>
                <c:formatCode>0.00%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E-4522-BF9A-39E48C781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66976"/>
        <c:axId val="200267392"/>
      </c:lineChart>
      <c:catAx>
        <c:axId val="20026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7392"/>
        <c:crosses val="autoZero"/>
        <c:auto val="1"/>
        <c:lblAlgn val="ctr"/>
        <c:lblOffset val="100"/>
        <c:noMultiLvlLbl val="0"/>
      </c:catAx>
      <c:valAx>
        <c:axId val="20026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19050</xdr:rowOff>
    </xdr:from>
    <xdr:to>
      <xdr:col>14</xdr:col>
      <xdr:colOff>342900</xdr:colOff>
      <xdr:row>17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81E7AB-637A-4B41-9156-94126C625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EF663-621B-4214-96B2-23B3FD6FF377}" name="Tabela1" displayName="Tabela1" ref="A1:H30" totalsRowShown="0" headerRowDxfId="1">
  <autoFilter ref="A1:H30" xr:uid="{CC4EF663-621B-4214-96B2-23B3FD6FF377}"/>
  <sortState xmlns:xlrd2="http://schemas.microsoft.com/office/spreadsheetml/2017/richdata2" ref="A2:H30">
    <sortCondition descending="1" ref="E1:E30"/>
  </sortState>
  <tableColumns count="8">
    <tableColumn id="1" xr3:uid="{7A37605B-4522-4EE1-91E2-55E0728E354C}" name="ICAO"/>
    <tableColumn id="2" xr3:uid="{5A778893-DAA6-42EC-9D86-C4BD7DA6CECA}" name="NOME"/>
    <tableColumn id="3" xr3:uid="{721209B1-6E2B-4A59-9DC7-C290A09CAF28}" name="CIDADE"/>
    <tableColumn id="4" xr3:uid="{CA3ED513-E9F3-4946-8438-1064E17DFC56}" name="ESTADO"/>
    <tableColumn id="5" xr3:uid="{1596B2B4-B0CB-491D-AF00-46412C137269}" name="DEMANDA (M^3)" dataDxfId="0"/>
    <tableColumn id="6" xr3:uid="{7CCD6EDB-C8F8-4536-99F0-C993C1C22BBB}" name="Latitude"/>
    <tableColumn id="7" xr3:uid="{DDC69BBE-43A3-4988-A1AC-A87D9546DCBE}" name="Longitude"/>
    <tableColumn id="8" xr3:uid="{32C43608-89C1-4CB2-BFD2-28CC68F6B6B5}" name="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abSelected="1" workbookViewId="0">
      <selection activeCell="H31" sqref="H31"/>
    </sheetView>
  </sheetViews>
  <sheetFormatPr defaultRowHeight="15" x14ac:dyDescent="0.25"/>
  <cols>
    <col min="1" max="1" width="8.5703125" customWidth="1"/>
    <col min="2" max="2" width="55.28515625" customWidth="1"/>
    <col min="3" max="3" width="13.28515625" bestFit="1" customWidth="1"/>
    <col min="4" max="4" width="9.7109375" customWidth="1"/>
    <col min="5" max="5" width="22" style="17" customWidth="1"/>
    <col min="6" max="6" width="11.7109375" bestFit="1" customWidth="1"/>
    <col min="7" max="7" width="11.28515625" customWidth="1"/>
    <col min="8" max="8" width="18.5703125" customWidth="1"/>
  </cols>
  <sheetData>
    <row r="1" spans="1:8" x14ac:dyDescent="0.25">
      <c r="A1" s="1" t="s">
        <v>0</v>
      </c>
      <c r="B1" s="1" t="s">
        <v>117</v>
      </c>
      <c r="C1" s="1" t="s">
        <v>1</v>
      </c>
      <c r="D1" s="1" t="s">
        <v>2</v>
      </c>
      <c r="E1" s="16" t="s">
        <v>77</v>
      </c>
      <c r="F1" s="1" t="s">
        <v>115</v>
      </c>
      <c r="G1" s="1" t="s">
        <v>116</v>
      </c>
      <c r="H1" s="1" t="s">
        <v>118</v>
      </c>
    </row>
    <row r="2" spans="1:8" x14ac:dyDescent="0.25">
      <c r="A2" t="s">
        <v>7</v>
      </c>
      <c r="B2" t="s">
        <v>78</v>
      </c>
      <c r="C2" t="s">
        <v>58</v>
      </c>
      <c r="D2" t="s">
        <v>22</v>
      </c>
      <c r="E2">
        <v>1787180.9310000001</v>
      </c>
      <c r="F2">
        <v>-23.435600000000001</v>
      </c>
      <c r="G2">
        <v>-46.473100000000002</v>
      </c>
      <c r="H2" s="18" t="s">
        <v>130</v>
      </c>
    </row>
    <row r="3" spans="1:8" x14ac:dyDescent="0.25">
      <c r="A3" t="s">
        <v>11</v>
      </c>
      <c r="B3" t="s">
        <v>86</v>
      </c>
      <c r="C3" t="s">
        <v>37</v>
      </c>
      <c r="D3" t="s">
        <v>25</v>
      </c>
      <c r="E3" s="17">
        <v>817393.41500000004</v>
      </c>
      <c r="F3">
        <v>-22.808900000000001</v>
      </c>
      <c r="G3">
        <v>-43.243600000000001</v>
      </c>
      <c r="H3" t="s">
        <v>37</v>
      </c>
    </row>
    <row r="4" spans="1:8" x14ac:dyDescent="0.25">
      <c r="A4" t="s">
        <v>10</v>
      </c>
      <c r="B4" t="s">
        <v>109</v>
      </c>
      <c r="C4" t="s">
        <v>36</v>
      </c>
      <c r="D4" t="s">
        <v>22</v>
      </c>
      <c r="E4" s="17">
        <v>408389.58</v>
      </c>
      <c r="F4">
        <v>-23.007400000000001</v>
      </c>
      <c r="G4">
        <v>-47.134399999999999</v>
      </c>
      <c r="H4" s="18" t="s">
        <v>130</v>
      </c>
    </row>
    <row r="5" spans="1:8" x14ac:dyDescent="0.25">
      <c r="A5" t="s">
        <v>8</v>
      </c>
      <c r="B5" t="s">
        <v>79</v>
      </c>
      <c r="C5" t="s">
        <v>59</v>
      </c>
      <c r="D5" t="s">
        <v>23</v>
      </c>
      <c r="E5" s="17">
        <v>340540.24400000001</v>
      </c>
      <c r="F5">
        <v>-15.8711</v>
      </c>
      <c r="G5">
        <v>-47.918599999999998</v>
      </c>
      <c r="H5" t="s">
        <v>119</v>
      </c>
    </row>
    <row r="6" spans="1:8" x14ac:dyDescent="0.25">
      <c r="A6" t="s">
        <v>12</v>
      </c>
      <c r="B6" t="s">
        <v>87</v>
      </c>
      <c r="C6" t="s">
        <v>61</v>
      </c>
      <c r="D6" t="s">
        <v>26</v>
      </c>
      <c r="E6" s="17">
        <v>231737.04199999999</v>
      </c>
      <c r="F6">
        <v>-8.1265000000000001</v>
      </c>
      <c r="G6">
        <v>-34.9236</v>
      </c>
      <c r="H6" t="s">
        <v>120</v>
      </c>
    </row>
    <row r="7" spans="1:8" x14ac:dyDescent="0.25">
      <c r="A7" t="s">
        <v>16</v>
      </c>
      <c r="B7" t="s">
        <v>90</v>
      </c>
      <c r="C7" t="s">
        <v>65</v>
      </c>
      <c r="D7" t="s">
        <v>30</v>
      </c>
      <c r="E7" s="17">
        <v>147995.07399999999</v>
      </c>
      <c r="F7">
        <v>-3.7763</v>
      </c>
      <c r="G7">
        <v>-38.532600000000002</v>
      </c>
      <c r="H7" s="18" t="s">
        <v>131</v>
      </c>
    </row>
    <row r="8" spans="1:8" x14ac:dyDescent="0.25">
      <c r="A8" t="s">
        <v>13</v>
      </c>
      <c r="B8" t="s">
        <v>88</v>
      </c>
      <c r="C8" t="s">
        <v>62</v>
      </c>
      <c r="D8" t="s">
        <v>27</v>
      </c>
      <c r="E8" s="17">
        <v>133951.731</v>
      </c>
      <c r="F8">
        <v>-12.9086</v>
      </c>
      <c r="G8">
        <v>-38.322499999999998</v>
      </c>
      <c r="H8" t="s">
        <v>121</v>
      </c>
    </row>
    <row r="9" spans="1:8" x14ac:dyDescent="0.25">
      <c r="A9" t="s">
        <v>14</v>
      </c>
      <c r="B9" t="s">
        <v>89</v>
      </c>
      <c r="C9" t="s">
        <v>63</v>
      </c>
      <c r="D9" t="s">
        <v>28</v>
      </c>
      <c r="E9" s="17">
        <v>119304.724</v>
      </c>
      <c r="F9">
        <v>-29.9939</v>
      </c>
      <c r="G9">
        <v>-51.171399999999998</v>
      </c>
      <c r="H9" t="s">
        <v>128</v>
      </c>
    </row>
    <row r="10" spans="1:8" x14ac:dyDescent="0.25">
      <c r="A10" t="s">
        <v>20</v>
      </c>
      <c r="B10" t="s">
        <v>94</v>
      </c>
      <c r="C10" t="s">
        <v>69</v>
      </c>
      <c r="D10" t="s">
        <v>34</v>
      </c>
      <c r="E10" s="17">
        <v>59551.964999999997</v>
      </c>
      <c r="F10">
        <v>-16.632000000000001</v>
      </c>
      <c r="G10">
        <v>-49.220700000000001</v>
      </c>
      <c r="H10" s="18" t="s">
        <v>132</v>
      </c>
    </row>
    <row r="11" spans="1:8" x14ac:dyDescent="0.25">
      <c r="A11" t="s">
        <v>9</v>
      </c>
      <c r="B11" t="s">
        <v>80</v>
      </c>
      <c r="C11" t="s">
        <v>60</v>
      </c>
      <c r="D11" t="s">
        <v>24</v>
      </c>
      <c r="E11" s="17">
        <v>39612.406999999999</v>
      </c>
      <c r="F11">
        <v>-19.624400000000001</v>
      </c>
      <c r="G11">
        <v>-43.971899999999998</v>
      </c>
      <c r="H11" t="s">
        <v>122</v>
      </c>
    </row>
    <row r="12" spans="1:8" x14ac:dyDescent="0.25">
      <c r="A12" t="s">
        <v>15</v>
      </c>
      <c r="B12" t="s">
        <v>103</v>
      </c>
      <c r="C12" t="s">
        <v>64</v>
      </c>
      <c r="D12" t="s">
        <v>29</v>
      </c>
      <c r="E12" s="17">
        <v>36027.785000000003</v>
      </c>
      <c r="F12">
        <v>-27.6706</v>
      </c>
      <c r="G12">
        <v>-48.552500000000002</v>
      </c>
      <c r="H12" t="s">
        <v>123</v>
      </c>
    </row>
    <row r="13" spans="1:8" x14ac:dyDescent="0.25">
      <c r="A13" t="s">
        <v>5</v>
      </c>
      <c r="B13" t="s">
        <v>93</v>
      </c>
      <c r="C13" t="s">
        <v>72</v>
      </c>
      <c r="D13" t="s">
        <v>6</v>
      </c>
      <c r="E13" s="17">
        <v>33273.627</v>
      </c>
      <c r="F13">
        <v>-2.5853999999999999</v>
      </c>
      <c r="G13">
        <v>-44.234099999999998</v>
      </c>
      <c r="H13" s="18" t="s">
        <v>133</v>
      </c>
    </row>
    <row r="14" spans="1:8" x14ac:dyDescent="0.25">
      <c r="A14" t="s">
        <v>52</v>
      </c>
      <c r="B14" t="s">
        <v>98</v>
      </c>
      <c r="C14" t="s">
        <v>75</v>
      </c>
      <c r="D14" t="s">
        <v>43</v>
      </c>
      <c r="E14" s="17">
        <v>25150.856</v>
      </c>
      <c r="F14">
        <v>-20.258099999999999</v>
      </c>
      <c r="G14">
        <v>-40.2864</v>
      </c>
      <c r="H14" s="18" t="s">
        <v>134</v>
      </c>
    </row>
    <row r="15" spans="1:8" x14ac:dyDescent="0.25">
      <c r="A15" t="s">
        <v>49</v>
      </c>
      <c r="B15" t="s">
        <v>104</v>
      </c>
      <c r="C15" t="s">
        <v>39</v>
      </c>
      <c r="D15" t="s">
        <v>42</v>
      </c>
      <c r="E15" s="17">
        <v>21832.221000000001</v>
      </c>
      <c r="F15">
        <v>-10.984999999999999</v>
      </c>
      <c r="G15">
        <v>-37.070300000000003</v>
      </c>
      <c r="H15" t="s">
        <v>124</v>
      </c>
    </row>
    <row r="16" spans="1:8" x14ac:dyDescent="0.25">
      <c r="A16" t="s">
        <v>54</v>
      </c>
      <c r="B16" t="s">
        <v>99</v>
      </c>
      <c r="C16" t="s">
        <v>76</v>
      </c>
      <c r="D16" t="s">
        <v>31</v>
      </c>
      <c r="E16" s="17">
        <v>20173.127</v>
      </c>
      <c r="F16">
        <v>-25.600300000000001</v>
      </c>
      <c r="G16">
        <v>-54.484999999999999</v>
      </c>
      <c r="H16" s="18" t="s">
        <v>135</v>
      </c>
    </row>
    <row r="17" spans="1:8" x14ac:dyDescent="0.25">
      <c r="A17" t="s">
        <v>57</v>
      </c>
      <c r="B17" t="s">
        <v>102</v>
      </c>
      <c r="C17" t="s">
        <v>47</v>
      </c>
      <c r="D17" t="s">
        <v>29</v>
      </c>
      <c r="E17" s="17">
        <v>15271.186</v>
      </c>
      <c r="F17">
        <v>-26.879899999999999</v>
      </c>
      <c r="G17">
        <v>-48.651400000000002</v>
      </c>
      <c r="H17" t="s">
        <v>123</v>
      </c>
    </row>
    <row r="18" spans="1:8" x14ac:dyDescent="0.25">
      <c r="A18" t="s">
        <v>107</v>
      </c>
      <c r="B18" t="s">
        <v>84</v>
      </c>
      <c r="C18" t="s">
        <v>108</v>
      </c>
      <c r="D18" t="s">
        <v>26</v>
      </c>
      <c r="E18" s="17">
        <v>10564.834999999999</v>
      </c>
      <c r="F18">
        <v>-9.3623999999999992</v>
      </c>
      <c r="G18">
        <v>-40.569099999999999</v>
      </c>
      <c r="H18" t="s">
        <v>121</v>
      </c>
    </row>
    <row r="19" spans="1:8" x14ac:dyDescent="0.25">
      <c r="A19" t="s">
        <v>53</v>
      </c>
      <c r="B19" t="s">
        <v>44</v>
      </c>
      <c r="C19" t="s">
        <v>44</v>
      </c>
      <c r="D19" t="s">
        <v>25</v>
      </c>
      <c r="E19" s="17">
        <v>8305.6440000000002</v>
      </c>
      <c r="F19">
        <v>-22.921700000000001</v>
      </c>
      <c r="G19">
        <v>-42.072499999999998</v>
      </c>
      <c r="H19" t="s">
        <v>37</v>
      </c>
    </row>
    <row r="20" spans="1:8" x14ac:dyDescent="0.25">
      <c r="A20" t="s">
        <v>3</v>
      </c>
      <c r="B20" t="s">
        <v>95</v>
      </c>
      <c r="C20" t="s">
        <v>71</v>
      </c>
      <c r="D20" t="s">
        <v>4</v>
      </c>
      <c r="E20" s="17">
        <v>7913.3339999999998</v>
      </c>
      <c r="F20">
        <v>-9.5107999999999997</v>
      </c>
      <c r="G20">
        <v>-35.791699999999999</v>
      </c>
      <c r="H20" t="s">
        <v>125</v>
      </c>
    </row>
    <row r="21" spans="1:8" x14ac:dyDescent="0.25">
      <c r="A21" t="s">
        <v>17</v>
      </c>
      <c r="B21" t="s">
        <v>85</v>
      </c>
      <c r="C21" t="s">
        <v>66</v>
      </c>
      <c r="D21" t="s">
        <v>31</v>
      </c>
      <c r="E21" s="17">
        <v>4855.1229999999996</v>
      </c>
      <c r="F21">
        <v>-25.528500000000001</v>
      </c>
      <c r="G21">
        <v>-49.175800000000002</v>
      </c>
      <c r="H21" s="18" t="s">
        <v>135</v>
      </c>
    </row>
    <row r="22" spans="1:8" x14ac:dyDescent="0.25">
      <c r="A22" t="s">
        <v>19</v>
      </c>
      <c r="B22" t="s">
        <v>92</v>
      </c>
      <c r="C22" t="s">
        <v>68</v>
      </c>
      <c r="D22" t="s">
        <v>33</v>
      </c>
      <c r="E22" s="17">
        <v>1567.0650000000001</v>
      </c>
      <c r="F22">
        <v>-15.653700000000001</v>
      </c>
      <c r="G22">
        <v>-56.116700000000002</v>
      </c>
      <c r="H22" t="s">
        <v>127</v>
      </c>
    </row>
    <row r="23" spans="1:8" x14ac:dyDescent="0.25">
      <c r="A23" t="s">
        <v>51</v>
      </c>
      <c r="B23" t="s">
        <v>97</v>
      </c>
      <c r="C23" t="s">
        <v>74</v>
      </c>
      <c r="D23" t="s">
        <v>41</v>
      </c>
      <c r="E23" s="17">
        <v>577.66200000000003</v>
      </c>
      <c r="F23">
        <v>-19.010300000000001</v>
      </c>
      <c r="G23">
        <v>-57.6723</v>
      </c>
      <c r="H23" t="s">
        <v>129</v>
      </c>
    </row>
    <row r="24" spans="1:8" x14ac:dyDescent="0.25">
      <c r="A24" t="s">
        <v>55</v>
      </c>
      <c r="B24" t="s">
        <v>100</v>
      </c>
      <c r="C24" t="s">
        <v>45</v>
      </c>
      <c r="D24" t="s">
        <v>28</v>
      </c>
      <c r="E24" s="17">
        <v>453.39800000000002</v>
      </c>
      <c r="F24">
        <v>-31.718399999999999</v>
      </c>
      <c r="G24">
        <v>-52.3277</v>
      </c>
      <c r="H24" t="s">
        <v>128</v>
      </c>
    </row>
    <row r="25" spans="1:8" x14ac:dyDescent="0.25">
      <c r="A25" t="s">
        <v>56</v>
      </c>
      <c r="B25" t="s">
        <v>101</v>
      </c>
      <c r="C25" t="s">
        <v>46</v>
      </c>
      <c r="D25" t="s">
        <v>28</v>
      </c>
      <c r="E25" s="17">
        <v>357.98200000000003</v>
      </c>
      <c r="F25">
        <v>-29.7819</v>
      </c>
      <c r="G25">
        <v>-57.0381</v>
      </c>
      <c r="H25" t="s">
        <v>128</v>
      </c>
    </row>
    <row r="26" spans="1:8" x14ac:dyDescent="0.25">
      <c r="A26" t="s">
        <v>48</v>
      </c>
      <c r="B26" t="s">
        <v>81</v>
      </c>
      <c r="C26" t="s">
        <v>73</v>
      </c>
      <c r="D26" t="s">
        <v>38</v>
      </c>
      <c r="E26" s="17">
        <v>191.35499999999999</v>
      </c>
      <c r="F26">
        <v>-2.8938000000000001</v>
      </c>
      <c r="G26">
        <v>-41.731999999999999</v>
      </c>
      <c r="H26" s="18" t="s">
        <v>136</v>
      </c>
    </row>
    <row r="27" spans="1:8" x14ac:dyDescent="0.25">
      <c r="A27" t="s">
        <v>105</v>
      </c>
      <c r="B27" t="s">
        <v>83</v>
      </c>
      <c r="C27" t="s">
        <v>106</v>
      </c>
      <c r="D27" t="s">
        <v>41</v>
      </c>
      <c r="E27" s="17">
        <v>163.31899999999999</v>
      </c>
      <c r="F27">
        <v>-22.549600000000002</v>
      </c>
      <c r="G27">
        <v>-55.702599999999997</v>
      </c>
      <c r="H27" t="s">
        <v>129</v>
      </c>
    </row>
    <row r="28" spans="1:8" x14ac:dyDescent="0.25">
      <c r="A28" t="s">
        <v>18</v>
      </c>
      <c r="B28" t="s">
        <v>91</v>
      </c>
      <c r="C28" t="s">
        <v>67</v>
      </c>
      <c r="D28" t="s">
        <v>32</v>
      </c>
      <c r="E28" s="17">
        <v>157.90199999999999</v>
      </c>
      <c r="F28">
        <v>-7.1467000000000001</v>
      </c>
      <c r="G28">
        <v>-34.948599999999999</v>
      </c>
      <c r="H28" s="18" t="s">
        <v>137</v>
      </c>
    </row>
    <row r="29" spans="1:8" x14ac:dyDescent="0.25">
      <c r="A29" t="s">
        <v>21</v>
      </c>
      <c r="B29" t="s">
        <v>82</v>
      </c>
      <c r="C29" t="s">
        <v>70</v>
      </c>
      <c r="D29" t="s">
        <v>35</v>
      </c>
      <c r="E29" s="17">
        <v>56.503999999999998</v>
      </c>
      <c r="F29">
        <v>-5.7680999999999996</v>
      </c>
      <c r="G29">
        <v>-35.376100000000001</v>
      </c>
      <c r="H29" t="s">
        <v>126</v>
      </c>
    </row>
    <row r="30" spans="1:8" x14ac:dyDescent="0.25">
      <c r="A30" t="s">
        <v>50</v>
      </c>
      <c r="B30" t="s">
        <v>96</v>
      </c>
      <c r="C30" t="s">
        <v>40</v>
      </c>
      <c r="D30" t="s">
        <v>41</v>
      </c>
      <c r="E30" s="17">
        <v>14.449</v>
      </c>
      <c r="F30">
        <v>-20.468699999999998</v>
      </c>
      <c r="G30">
        <v>-54.672499999999999</v>
      </c>
      <c r="H30" t="s">
        <v>129</v>
      </c>
    </row>
    <row r="33" spans="4:5" x14ac:dyDescent="0.25">
      <c r="D33" s="17"/>
      <c r="E33"/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2210-6FDD-40D8-91E2-1733580390C9}">
  <dimension ref="B2:E40"/>
  <sheetViews>
    <sheetView workbookViewId="0">
      <selection activeCell="I20" sqref="I20"/>
    </sheetView>
  </sheetViews>
  <sheetFormatPr defaultRowHeight="15" x14ac:dyDescent="0.25"/>
  <cols>
    <col min="2" max="2" width="11.5703125" customWidth="1"/>
    <col min="3" max="3" width="11.42578125" bestFit="1" customWidth="1"/>
    <col min="4" max="4" width="13.140625" customWidth="1"/>
    <col min="5" max="5" width="14.28515625" customWidth="1"/>
  </cols>
  <sheetData>
    <row r="2" spans="2:5" ht="15.75" thickBot="1" x14ac:dyDescent="0.3">
      <c r="B2" s="3" t="s">
        <v>110</v>
      </c>
      <c r="C2" s="4" t="s">
        <v>111</v>
      </c>
      <c r="D2" s="4" t="s">
        <v>113</v>
      </c>
      <c r="E2" s="4" t="s">
        <v>114</v>
      </c>
    </row>
    <row r="3" spans="2:5" ht="15.75" thickTop="1" x14ac:dyDescent="0.25">
      <c r="B3" s="5" t="str">
        <f>Aeroportos!C2</f>
        <v>Guarulhos</v>
      </c>
      <c r="C3" s="6">
        <f>Aeroportos!E2</f>
        <v>1787180.9310000001</v>
      </c>
      <c r="D3" s="7" t="e">
        <f t="shared" ref="D3:D38" si="0">C3/$C$40</f>
        <v>#REF!</v>
      </c>
      <c r="E3" s="8" t="e">
        <f>'ABC Demanda'!$D3</f>
        <v>#REF!</v>
      </c>
    </row>
    <row r="4" spans="2:5" x14ac:dyDescent="0.25">
      <c r="B4" s="9" t="str">
        <f>Aeroportos!C6</f>
        <v>Recife</v>
      </c>
      <c r="C4" s="10">
        <f>Aeroportos!E6</f>
        <v>231737.04199999999</v>
      </c>
      <c r="D4" s="11" t="e">
        <f t="shared" si="0"/>
        <v>#REF!</v>
      </c>
      <c r="E4" s="12" t="e">
        <f>D4+E3</f>
        <v>#REF!</v>
      </c>
    </row>
    <row r="5" spans="2:5" x14ac:dyDescent="0.25">
      <c r="B5" s="13" t="str">
        <f>Aeroportos!C5</f>
        <v>Brasilia</v>
      </c>
      <c r="C5" s="14">
        <f>Aeroportos!E5</f>
        <v>340540.24400000001</v>
      </c>
      <c r="D5" s="15" t="e">
        <f t="shared" si="0"/>
        <v>#REF!</v>
      </c>
      <c r="E5" s="12" t="e">
        <f t="shared" ref="E5:E38" si="1">D5+E4</f>
        <v>#REF!</v>
      </c>
    </row>
    <row r="6" spans="2:5" x14ac:dyDescent="0.25">
      <c r="B6" s="9" t="str">
        <f>Aeroportos!C3</f>
        <v>Rio de Janeiro</v>
      </c>
      <c r="C6" s="10">
        <f>Aeroportos!E3</f>
        <v>817393.41500000004</v>
      </c>
      <c r="D6" s="11" t="e">
        <f t="shared" si="0"/>
        <v>#REF!</v>
      </c>
      <c r="E6" s="12" t="e">
        <f t="shared" si="1"/>
        <v>#REF!</v>
      </c>
    </row>
    <row r="7" spans="2:5" x14ac:dyDescent="0.25">
      <c r="B7" s="13" t="str">
        <f>Aeroportos!C7</f>
        <v>Fortaleza</v>
      </c>
      <c r="C7" s="14">
        <f>Aeroportos!E7</f>
        <v>147995.07399999999</v>
      </c>
      <c r="D7" s="15" t="e">
        <f t="shared" si="0"/>
        <v>#REF!</v>
      </c>
      <c r="E7" s="12" t="e">
        <f t="shared" si="1"/>
        <v>#REF!</v>
      </c>
    </row>
    <row r="8" spans="2:5" x14ac:dyDescent="0.25">
      <c r="B8" s="9" t="str">
        <f>Aeroportos!C11</f>
        <v>Confins</v>
      </c>
      <c r="C8" s="10">
        <f>Aeroportos!E11</f>
        <v>39612.406999999999</v>
      </c>
      <c r="D8" s="11" t="e">
        <f t="shared" si="0"/>
        <v>#REF!</v>
      </c>
      <c r="E8" s="12" t="e">
        <f t="shared" si="1"/>
        <v>#REF!</v>
      </c>
    </row>
    <row r="9" spans="2:5" x14ac:dyDescent="0.25">
      <c r="B9" s="13" t="str">
        <f>Aeroportos!C8</f>
        <v>Salvador</v>
      </c>
      <c r="C9" s="14">
        <f>Aeroportos!E8</f>
        <v>133951.731</v>
      </c>
      <c r="D9" s="15" t="e">
        <f t="shared" si="0"/>
        <v>#REF!</v>
      </c>
      <c r="E9" s="12" t="e">
        <f t="shared" si="1"/>
        <v>#REF!</v>
      </c>
    </row>
    <row r="10" spans="2:5" x14ac:dyDescent="0.25">
      <c r="B10" s="9" t="str">
        <f>Aeroportos!C9</f>
        <v>Porto Alegre</v>
      </c>
      <c r="C10" s="10">
        <f>Aeroportos!E9</f>
        <v>119304.724</v>
      </c>
      <c r="D10" s="11" t="e">
        <f t="shared" si="0"/>
        <v>#REF!</v>
      </c>
      <c r="E10" s="12" t="e">
        <f t="shared" si="1"/>
        <v>#REF!</v>
      </c>
    </row>
    <row r="11" spans="2:5" x14ac:dyDescent="0.25">
      <c r="B11" s="13" t="e">
        <f>Aeroportos!#REF!</f>
        <v>#REF!</v>
      </c>
      <c r="C11" s="14" t="e">
        <f>Aeroportos!#REF!</f>
        <v>#REF!</v>
      </c>
      <c r="D11" s="15" t="e">
        <f t="shared" si="0"/>
        <v>#REF!</v>
      </c>
      <c r="E11" s="12" t="e">
        <f t="shared" si="1"/>
        <v>#REF!</v>
      </c>
    </row>
    <row r="12" spans="2:5" x14ac:dyDescent="0.25">
      <c r="B12" s="9" t="e">
        <f>Aeroportos!#REF!</f>
        <v>#REF!</v>
      </c>
      <c r="C12" s="10" t="e">
        <f>Aeroportos!#REF!</f>
        <v>#REF!</v>
      </c>
      <c r="D12" s="11" t="e">
        <f t="shared" si="0"/>
        <v>#REF!</v>
      </c>
      <c r="E12" s="12" t="e">
        <f t="shared" si="1"/>
        <v>#REF!</v>
      </c>
    </row>
    <row r="13" spans="2:5" x14ac:dyDescent="0.25">
      <c r="B13" s="13" t="str">
        <f>Aeroportos!C15</f>
        <v>Aracaju</v>
      </c>
      <c r="C13" s="14">
        <f>Aeroportos!E15</f>
        <v>21832.221000000001</v>
      </c>
      <c r="D13" s="15" t="e">
        <f t="shared" si="0"/>
        <v>#REF!</v>
      </c>
      <c r="E13" s="12" t="e">
        <f t="shared" si="1"/>
        <v>#REF!</v>
      </c>
    </row>
    <row r="14" spans="2:5" x14ac:dyDescent="0.25">
      <c r="B14" s="9" t="str">
        <f>Aeroportos!C4</f>
        <v>Campinas</v>
      </c>
      <c r="C14" s="10">
        <f>Aeroportos!E4</f>
        <v>408389.58</v>
      </c>
      <c r="D14" s="11" t="e">
        <f t="shared" si="0"/>
        <v>#REF!</v>
      </c>
      <c r="E14" s="12" t="e">
        <f t="shared" si="1"/>
        <v>#REF!</v>
      </c>
    </row>
    <row r="15" spans="2:5" x14ac:dyDescent="0.25">
      <c r="B15" s="13" t="str">
        <f>Aeroportos!C10</f>
        <v>Goiania</v>
      </c>
      <c r="C15" s="14">
        <f>Aeroportos!E10</f>
        <v>59551.964999999997</v>
      </c>
      <c r="D15" s="15" t="e">
        <f t="shared" si="0"/>
        <v>#REF!</v>
      </c>
      <c r="E15" s="12" t="e">
        <f t="shared" si="1"/>
        <v>#REF!</v>
      </c>
    </row>
    <row r="16" spans="2:5" x14ac:dyDescent="0.25">
      <c r="B16" s="9" t="str">
        <f>Aeroportos!C18</f>
        <v>Petrolina</v>
      </c>
      <c r="C16" s="10">
        <f>Aeroportos!E18</f>
        <v>10564.834999999999</v>
      </c>
      <c r="D16" s="11" t="e">
        <f t="shared" si="0"/>
        <v>#REF!</v>
      </c>
      <c r="E16" s="12" t="e">
        <f t="shared" si="1"/>
        <v>#REF!</v>
      </c>
    </row>
    <row r="17" spans="2:5" x14ac:dyDescent="0.25">
      <c r="B17" s="13" t="str">
        <f>Aeroportos!C23</f>
        <v>Corumba</v>
      </c>
      <c r="C17" s="14">
        <f>Aeroportos!E23</f>
        <v>577.66200000000003</v>
      </c>
      <c r="D17" s="15" t="e">
        <f t="shared" si="0"/>
        <v>#REF!</v>
      </c>
      <c r="E17" s="12" t="e">
        <f t="shared" si="1"/>
        <v>#REF!</v>
      </c>
    </row>
    <row r="18" spans="2:5" x14ac:dyDescent="0.25">
      <c r="B18" s="9" t="str">
        <f>Aeroportos!C20</f>
        <v>Maceio</v>
      </c>
      <c r="C18" s="10">
        <f>Aeroportos!E20</f>
        <v>7913.3339999999998</v>
      </c>
      <c r="D18" s="11" t="e">
        <f t="shared" si="0"/>
        <v>#REF!</v>
      </c>
      <c r="E18" s="12" t="e">
        <f t="shared" si="1"/>
        <v>#REF!</v>
      </c>
    </row>
    <row r="19" spans="2:5" x14ac:dyDescent="0.25">
      <c r="B19" s="13" t="str">
        <f>Aeroportos!C25</f>
        <v>Uruguaiana</v>
      </c>
      <c r="C19" s="14">
        <f>Aeroportos!E25</f>
        <v>357.98200000000003</v>
      </c>
      <c r="D19" s="15" t="e">
        <f t="shared" si="0"/>
        <v>#REF!</v>
      </c>
      <c r="E19" s="12" t="e">
        <f t="shared" si="1"/>
        <v>#REF!</v>
      </c>
    </row>
    <row r="20" spans="2:5" x14ac:dyDescent="0.25">
      <c r="B20" s="9" t="e">
        <f>Aeroportos!#REF!</f>
        <v>#REF!</v>
      </c>
      <c r="C20" s="10" t="e">
        <f>Aeroportos!#REF!</f>
        <v>#REF!</v>
      </c>
      <c r="D20" s="11" t="e">
        <f t="shared" si="0"/>
        <v>#REF!</v>
      </c>
      <c r="E20" s="12" t="e">
        <f t="shared" si="1"/>
        <v>#REF!</v>
      </c>
    </row>
    <row r="21" spans="2:5" x14ac:dyDescent="0.25">
      <c r="B21" s="13" t="str">
        <f>Aeroportos!C28</f>
        <v>Joao Pessoa</v>
      </c>
      <c r="C21" s="14">
        <f>Aeroportos!E28</f>
        <v>157.90199999999999</v>
      </c>
      <c r="D21" s="15" t="e">
        <f t="shared" si="0"/>
        <v>#REF!</v>
      </c>
      <c r="E21" s="12" t="e">
        <f t="shared" si="1"/>
        <v>#REF!</v>
      </c>
    </row>
    <row r="22" spans="2:5" x14ac:dyDescent="0.25">
      <c r="B22" s="9" t="str">
        <f>Aeroportos!C30</f>
        <v>Campo Grande</v>
      </c>
      <c r="C22" s="10">
        <f>Aeroportos!E30</f>
        <v>14.449</v>
      </c>
      <c r="D22" s="11" t="e">
        <f t="shared" si="0"/>
        <v>#REF!</v>
      </c>
      <c r="E22" s="12" t="e">
        <f t="shared" si="1"/>
        <v>#REF!</v>
      </c>
    </row>
    <row r="23" spans="2:5" x14ac:dyDescent="0.25">
      <c r="B23" s="13" t="str">
        <f>Aeroportos!C24</f>
        <v>Pelotas</v>
      </c>
      <c r="C23" s="14">
        <f>Aeroportos!E24</f>
        <v>453.39800000000002</v>
      </c>
      <c r="D23" s="15" t="e">
        <f t="shared" si="0"/>
        <v>#REF!</v>
      </c>
      <c r="E23" s="12" t="e">
        <f t="shared" si="1"/>
        <v>#REF!</v>
      </c>
    </row>
    <row r="24" spans="2:5" x14ac:dyDescent="0.25">
      <c r="B24" s="9" t="str">
        <f>Aeroportos!C17</f>
        <v>Navegantes</v>
      </c>
      <c r="C24" s="10">
        <f>Aeroportos!E17</f>
        <v>15271.186</v>
      </c>
      <c r="D24" s="11" t="e">
        <f t="shared" si="0"/>
        <v>#REF!</v>
      </c>
      <c r="E24" s="12" t="e">
        <f t="shared" si="1"/>
        <v>#REF!</v>
      </c>
    </row>
    <row r="25" spans="2:5" x14ac:dyDescent="0.25">
      <c r="B25" s="13" t="e">
        <f>Aeroportos!#REF!</f>
        <v>#REF!</v>
      </c>
      <c r="C25" s="14" t="e">
        <f>Aeroportos!#REF!</f>
        <v>#REF!</v>
      </c>
      <c r="D25" s="15" t="e">
        <f t="shared" si="0"/>
        <v>#REF!</v>
      </c>
      <c r="E25" s="12" t="e">
        <f t="shared" si="1"/>
        <v>#REF!</v>
      </c>
    </row>
    <row r="26" spans="2:5" x14ac:dyDescent="0.25">
      <c r="B26" s="9" t="e">
        <f>Aeroportos!#REF!</f>
        <v>#REF!</v>
      </c>
      <c r="C26" s="10" t="e">
        <f>Aeroportos!#REF!</f>
        <v>#REF!</v>
      </c>
      <c r="D26" s="11" t="e">
        <f t="shared" si="0"/>
        <v>#REF!</v>
      </c>
      <c r="E26" s="12" t="e">
        <f t="shared" si="1"/>
        <v>#REF!</v>
      </c>
    </row>
    <row r="27" spans="2:5" x14ac:dyDescent="0.25">
      <c r="B27" s="13" t="str">
        <f>Aeroportos!C12</f>
        <v>Florianopolis</v>
      </c>
      <c r="C27" s="14">
        <f>Aeroportos!E12</f>
        <v>36027.785000000003</v>
      </c>
      <c r="D27" s="15" t="e">
        <f t="shared" si="0"/>
        <v>#REF!</v>
      </c>
      <c r="E27" s="12" t="e">
        <f t="shared" si="1"/>
        <v>#REF!</v>
      </c>
    </row>
    <row r="28" spans="2:5" x14ac:dyDescent="0.25">
      <c r="B28" s="9" t="e">
        <f>Aeroportos!#REF!</f>
        <v>#REF!</v>
      </c>
      <c r="C28" s="10" t="e">
        <f>Aeroportos!#REF!</f>
        <v>#REF!</v>
      </c>
      <c r="D28" s="11" t="e">
        <f t="shared" si="0"/>
        <v>#REF!</v>
      </c>
      <c r="E28" s="12" t="e">
        <f t="shared" si="1"/>
        <v>#REF!</v>
      </c>
    </row>
    <row r="29" spans="2:5" x14ac:dyDescent="0.25">
      <c r="B29" s="13" t="str">
        <f>Aeroportos!C14</f>
        <v>Vitoria</v>
      </c>
      <c r="C29" s="14">
        <f>Aeroportos!E14</f>
        <v>25150.856</v>
      </c>
      <c r="D29" s="15" t="e">
        <f t="shared" si="0"/>
        <v>#REF!</v>
      </c>
      <c r="E29" s="12" t="e">
        <f t="shared" si="1"/>
        <v>#REF!</v>
      </c>
    </row>
    <row r="30" spans="2:5" x14ac:dyDescent="0.25">
      <c r="B30" s="9" t="str">
        <f>Aeroportos!C22</f>
        <v>Cuiaba</v>
      </c>
      <c r="C30" s="10">
        <f>Aeroportos!E22</f>
        <v>1567.0650000000001</v>
      </c>
      <c r="D30" s="11" t="e">
        <f t="shared" si="0"/>
        <v>#REF!</v>
      </c>
      <c r="E30" s="12" t="e">
        <f t="shared" si="1"/>
        <v>#REF!</v>
      </c>
    </row>
    <row r="31" spans="2:5" x14ac:dyDescent="0.25">
      <c r="B31" s="13" t="str">
        <f>Aeroportos!C26</f>
        <v>Parnaiba</v>
      </c>
      <c r="C31" s="14">
        <f>Aeroportos!E26</f>
        <v>191.35499999999999</v>
      </c>
      <c r="D31" s="15" t="e">
        <f t="shared" si="0"/>
        <v>#REF!</v>
      </c>
      <c r="E31" s="12" t="e">
        <f t="shared" si="1"/>
        <v>#REF!</v>
      </c>
    </row>
    <row r="32" spans="2:5" x14ac:dyDescent="0.25">
      <c r="B32" s="9" t="str">
        <f>Aeroportos!C27</f>
        <v>Ponta Pora</v>
      </c>
      <c r="C32" s="10">
        <f>Aeroportos!E27</f>
        <v>163.31899999999999</v>
      </c>
      <c r="D32" s="11" t="e">
        <f t="shared" si="0"/>
        <v>#REF!</v>
      </c>
      <c r="E32" s="12" t="e">
        <f t="shared" si="1"/>
        <v>#REF!</v>
      </c>
    </row>
    <row r="33" spans="2:5" x14ac:dyDescent="0.25">
      <c r="B33" s="13" t="str">
        <f>Aeroportos!C19</f>
        <v>Cabo Frio</v>
      </c>
      <c r="C33" s="14">
        <f>Aeroportos!E19</f>
        <v>8305.6440000000002</v>
      </c>
      <c r="D33" s="15" t="e">
        <f t="shared" si="0"/>
        <v>#REF!</v>
      </c>
      <c r="E33" s="12" t="e">
        <f t="shared" si="1"/>
        <v>#REF!</v>
      </c>
    </row>
    <row r="34" spans="2:5" x14ac:dyDescent="0.25">
      <c r="B34" s="9" t="str">
        <f>Aeroportos!C29</f>
        <v>Natal</v>
      </c>
      <c r="C34" s="10">
        <f>Aeroportos!E29</f>
        <v>56.503999999999998</v>
      </c>
      <c r="D34" s="11" t="e">
        <f t="shared" si="0"/>
        <v>#REF!</v>
      </c>
      <c r="E34" s="12" t="e">
        <f t="shared" si="1"/>
        <v>#REF!</v>
      </c>
    </row>
    <row r="35" spans="2:5" x14ac:dyDescent="0.25">
      <c r="B35" s="13" t="str">
        <f>Aeroportos!C13</f>
        <v>Sao Luis</v>
      </c>
      <c r="C35" s="14">
        <f>Aeroportos!E13</f>
        <v>33273.627</v>
      </c>
      <c r="D35" s="15" t="e">
        <f t="shared" si="0"/>
        <v>#REF!</v>
      </c>
      <c r="E35" s="12" t="e">
        <f t="shared" si="1"/>
        <v>#REF!</v>
      </c>
    </row>
    <row r="36" spans="2:5" x14ac:dyDescent="0.25">
      <c r="B36" s="9" t="str">
        <f>Aeroportos!C16</f>
        <v>Foz do Iguacu</v>
      </c>
      <c r="C36" s="10">
        <f>Aeroportos!E16</f>
        <v>20173.127</v>
      </c>
      <c r="D36" s="11" t="e">
        <f t="shared" si="0"/>
        <v>#REF!</v>
      </c>
      <c r="E36" s="12" t="e">
        <f t="shared" si="1"/>
        <v>#REF!</v>
      </c>
    </row>
    <row r="37" spans="2:5" x14ac:dyDescent="0.25">
      <c r="B37" s="13" t="str">
        <f>Aeroportos!C21</f>
        <v>Curitiba</v>
      </c>
      <c r="C37" s="14">
        <f>Aeroportos!E21</f>
        <v>4855.1229999999996</v>
      </c>
      <c r="D37" s="15" t="e">
        <f t="shared" si="0"/>
        <v>#REF!</v>
      </c>
      <c r="E37" s="12" t="e">
        <f t="shared" si="1"/>
        <v>#REF!</v>
      </c>
    </row>
    <row r="38" spans="2:5" x14ac:dyDescent="0.25">
      <c r="B38" s="9" t="e">
        <f>Aeroportos!#REF!</f>
        <v>#REF!</v>
      </c>
      <c r="C38" s="10" t="e">
        <f>Aeroportos!#REF!</f>
        <v>#REF!</v>
      </c>
      <c r="D38" s="11" t="e">
        <f t="shared" si="0"/>
        <v>#REF!</v>
      </c>
      <c r="E38" s="12" t="e">
        <f t="shared" si="1"/>
        <v>#REF!</v>
      </c>
    </row>
    <row r="40" spans="2:5" x14ac:dyDescent="0.25">
      <c r="B40" t="s">
        <v>112</v>
      </c>
      <c r="C40" s="2" t="e">
        <f>SUM(C3:C38)</f>
        <v>#REF!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11836-0FAA-4B45-A873-1E495C6A37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Aeroportos</vt:lpstr>
      <vt:lpstr>ABC 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Almeida</dc:creator>
  <cp:lastModifiedBy>Madelynn Watson</cp:lastModifiedBy>
  <dcterms:created xsi:type="dcterms:W3CDTF">2024-10-08T00:27:25Z</dcterms:created>
  <dcterms:modified xsi:type="dcterms:W3CDTF">2025-08-12T20:17:21Z</dcterms:modified>
</cp:coreProperties>
</file>