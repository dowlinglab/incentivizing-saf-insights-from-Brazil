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Maddie\Documents\GitHub\C2C_Project\Supply_Chain_Model\"/>
    </mc:Choice>
  </mc:AlternateContent>
  <xr:revisionPtr revIDLastSave="0" documentId="13_ncr:1_{186EFFA5-7635-49DE-9544-101A87D8D450}" xr6:coauthVersionLast="47" xr6:coauthVersionMax="47" xr10:uidLastSave="{00000000-0000-0000-0000-000000000000}"/>
  <bookViews>
    <workbookView xWindow="18135" yWindow="0" windowWidth="27000" windowHeight="20985" activeTab="2" xr2:uid="{00000000-000D-0000-FFFF-FFFF00000000}"/>
  </bookViews>
  <sheets>
    <sheet name="Capacities" sheetId="1" r:id="rId1"/>
    <sheet name="ethanol" sheetId="3" r:id="rId2"/>
    <sheet name="annexed" sheetId="4" r:id="rId3"/>
    <sheet name="Statistic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Zj2Kh24mUu49Pu7fhRvfB2SYqDUfddpDfI6aGNnpCM="/>
    </ext>
  </extLst>
</workbook>
</file>

<file path=xl/calcChain.xml><?xml version="1.0" encoding="utf-8"?>
<calcChain xmlns="http://schemas.openxmlformats.org/spreadsheetml/2006/main">
  <c r="L5" i="2" l="1"/>
  <c r="L6" i="2"/>
  <c r="L4" i="2"/>
  <c r="J5" i="2"/>
  <c r="B102" i="2"/>
  <c r="J4" i="2"/>
  <c r="I6" i="2"/>
  <c r="J6" i="2" s="1"/>
</calcChain>
</file>

<file path=xl/sharedStrings.xml><?xml version="1.0" encoding="utf-8"?>
<sst xmlns="http://schemas.openxmlformats.org/spreadsheetml/2006/main" count="789" uniqueCount="348">
  <si>
    <t>Mills</t>
  </si>
  <si>
    <t>Sugarcane Capacity (ton)</t>
  </si>
  <si>
    <t>Moema</t>
  </si>
  <si>
    <t>RAIZEN - Costa Pinto</t>
  </si>
  <si>
    <t>Cocal - Unidade Narandiba</t>
  </si>
  <si>
    <t>Caeté - Unidade Paulicéia</t>
  </si>
  <si>
    <t>Abengoa - São João Bv</t>
  </si>
  <si>
    <t>Abengoa - São Luiz</t>
  </si>
  <si>
    <t>Adecoagro</t>
  </si>
  <si>
    <t>Alta Mogiana</t>
  </si>
  <si>
    <t>Alto Alegre - Florestópolis</t>
  </si>
  <si>
    <t>Alto Alegre - Unidade Junqueira</t>
  </si>
  <si>
    <t>Alto Alegre - Unidade Santo Inácio</t>
  </si>
  <si>
    <t>Alto Taquari</t>
  </si>
  <si>
    <t>Andrade</t>
  </si>
  <si>
    <t>Angélica</t>
  </si>
  <si>
    <t>Anicuns</t>
  </si>
  <si>
    <t>Bandeirantes</t>
  </si>
  <si>
    <t>Barra Grande</t>
  </si>
  <si>
    <t>Barralcool</t>
  </si>
  <si>
    <t>Batatais</t>
  </si>
  <si>
    <t>Batatais - Unidade Lins</t>
  </si>
  <si>
    <t>Bazan</t>
  </si>
  <si>
    <t>Bela Vista</t>
  </si>
  <si>
    <t>Bevap</t>
  </si>
  <si>
    <t>Biopav(Revati)</t>
  </si>
  <si>
    <t>BIOSEV - UNIDADE COLOMBIA</t>
  </si>
  <si>
    <t>Biosev - Unidade Lagoa da Prata</t>
  </si>
  <si>
    <t>BIOSEV - Unidade MB</t>
  </si>
  <si>
    <t>BIOSEV - Unidade Passa Tempo</t>
  </si>
  <si>
    <t>BIOSEV - Unidade Rio Brilhante</t>
  </si>
  <si>
    <t>BIOSEV - Unidade Santa Elisa</t>
  </si>
  <si>
    <t>BIOSEV - Unidade Vale do Rosário</t>
  </si>
  <si>
    <t>Boa Vista</t>
  </si>
  <si>
    <t>Bom Sucesso</t>
  </si>
  <si>
    <t>BRENCO - Usina Morro Vermelho</t>
  </si>
  <si>
    <t>Buriti</t>
  </si>
  <si>
    <t>Carolo (N.Sra. Aparecida - BC Pontal)</t>
  </si>
  <si>
    <t>Cevasa</t>
  </si>
  <si>
    <t>Clealco - Unidade Queiroz</t>
  </si>
  <si>
    <t>Cocal</t>
  </si>
  <si>
    <t>Colombo</t>
  </si>
  <si>
    <t>Colorado</t>
  </si>
  <si>
    <t>Coplasa</t>
  </si>
  <si>
    <t>Coruripe</t>
  </si>
  <si>
    <t>Coruripe - Filial Campo Florido</t>
  </si>
  <si>
    <t>Coruripe - Iturama</t>
  </si>
  <si>
    <t>Da Mata</t>
  </si>
  <si>
    <t>Da Pedra</t>
  </si>
  <si>
    <t>Delta - Unidade Delta</t>
  </si>
  <si>
    <t>Delta - Unidade Volta Grande</t>
  </si>
  <si>
    <t>Eldorado</t>
  </si>
  <si>
    <t>Ester</t>
  </si>
  <si>
    <t>ETH - Conquista do Pontal</t>
  </si>
  <si>
    <t>ETH - UNIDADE COSTA RICA</t>
  </si>
  <si>
    <t>ETH BIOENERGIA</t>
  </si>
  <si>
    <t>Ferrari / São Marino</t>
  </si>
  <si>
    <t>Goiasa</t>
  </si>
  <si>
    <t>Guaíra</t>
  </si>
  <si>
    <t>Guarani - Unidade Cruz Alta</t>
  </si>
  <si>
    <t>Guarani - Unidade Mandu Guaíra</t>
  </si>
  <si>
    <t>Guarani - Unidade Severinia</t>
  </si>
  <si>
    <t>Iacanga</t>
  </si>
  <si>
    <t>IACO</t>
  </si>
  <si>
    <t>Interlagos</t>
  </si>
  <si>
    <t>Iracema</t>
  </si>
  <si>
    <t>Itamarati</t>
  </si>
  <si>
    <t>Itapagipe</t>
  </si>
  <si>
    <t>Itumbiara</t>
  </si>
  <si>
    <t>Jacarezinho</t>
  </si>
  <si>
    <t>Jalles Machado</t>
  </si>
  <si>
    <t>Moreno</t>
  </si>
  <si>
    <t>Nardini</t>
  </si>
  <si>
    <t>Nova Moreno</t>
  </si>
  <si>
    <t>Panorama</t>
  </si>
  <si>
    <t>Passos</t>
  </si>
  <si>
    <t>Pedro Afonso - Bunge</t>
  </si>
  <si>
    <t>Perolândia - Brenco</t>
  </si>
  <si>
    <t>Pitangueiras</t>
  </si>
  <si>
    <t>Porto das Águas &amp; Associados</t>
  </si>
  <si>
    <t>Quatá</t>
  </si>
  <si>
    <t>RAIZEN - Barra</t>
  </si>
  <si>
    <t>RAIZEN - Bonfim</t>
  </si>
  <si>
    <t>RAIZEN - Caarapó S/A Açúcar e álcool</t>
  </si>
  <si>
    <t>RAIZEN - Gasa</t>
  </si>
  <si>
    <t>RAIZEN - Ipaussu</t>
  </si>
  <si>
    <t>RAIZEN - Jataí</t>
  </si>
  <si>
    <t>RAIZEN - Junqueira</t>
  </si>
  <si>
    <t>RAIZEN - Maracaí</t>
  </si>
  <si>
    <t>RAIZEN - Paraguaçú</t>
  </si>
  <si>
    <t>RAIZEN - Rafard</t>
  </si>
  <si>
    <t>RAIZEN - TARUMÃ</t>
  </si>
  <si>
    <t>RAIZEN - Univalem</t>
  </si>
  <si>
    <t>Raizen Energia - Paraíso</t>
  </si>
  <si>
    <t>Raizen Energia ¿ Santa Candida</t>
  </si>
  <si>
    <t>Renuka - São Pedro do Ivaí</t>
  </si>
  <si>
    <t>Rio Amambai</t>
  </si>
  <si>
    <t>São Martinho</t>
  </si>
  <si>
    <t>Santa Cruz</t>
  </si>
  <si>
    <t>Santa Fé</t>
  </si>
  <si>
    <t>Santa Helena</t>
  </si>
  <si>
    <t>Santa Juliana</t>
  </si>
  <si>
    <t>Capacities</t>
  </si>
  <si>
    <t>All mills in Brazil</t>
  </si>
  <si>
    <t>Mills Selected</t>
  </si>
  <si>
    <t>Mills above 2500000</t>
  </si>
  <si>
    <t>Quantity</t>
  </si>
  <si>
    <t>Buriti - Buritizal</t>
  </si>
  <si>
    <t>Santa Cruz - SP</t>
  </si>
  <si>
    <t>Santa Helena - Goias</t>
  </si>
  <si>
    <t>Alcoolquímica</t>
  </si>
  <si>
    <t>BIOSEV - Unidade Ares</t>
  </si>
  <si>
    <t>Caeté</t>
  </si>
  <si>
    <t>Central Olho D'Água</t>
  </si>
  <si>
    <t>Cucau</t>
  </si>
  <si>
    <t>Mandacaru</t>
  </si>
  <si>
    <t>Petribú</t>
  </si>
  <si>
    <t>Porto Rico</t>
  </si>
  <si>
    <t>Santo Antônio</t>
  </si>
  <si>
    <t>Seresta</t>
  </si>
  <si>
    <t>Sinimbu</t>
  </si>
  <si>
    <t>Trapiche</t>
  </si>
  <si>
    <t>Agrocan</t>
  </si>
  <si>
    <t>Agropaulo - Un. Jaguaruana</t>
  </si>
  <si>
    <t>Agrosserra</t>
  </si>
  <si>
    <t>Bahia Etanol</t>
  </si>
  <si>
    <t>Bioflex Agroindustrial</t>
  </si>
  <si>
    <t>BIOSEV - Unidade Pedras de Fogo</t>
  </si>
  <si>
    <t>Bom Jesus</t>
  </si>
  <si>
    <t>Camaragibe</t>
  </si>
  <si>
    <t>Campo Lindo</t>
  </si>
  <si>
    <t>Ceara-Mirim</t>
  </si>
  <si>
    <t>Central Leão Utinga</t>
  </si>
  <si>
    <t>Coaf - Cruangi</t>
  </si>
  <si>
    <t>Compahia Agroindustrial de Goiana (Santa Teresa)</t>
  </si>
  <si>
    <t>Comvap</t>
  </si>
  <si>
    <t>Agrisa</t>
  </si>
  <si>
    <t>Agropeu</t>
  </si>
  <si>
    <t>Água Bonita</t>
  </si>
  <si>
    <t>Alcoeste</t>
  </si>
  <si>
    <t>Alcon</t>
  </si>
  <si>
    <t>Alcoolvale</t>
  </si>
  <si>
    <t>Alta Floresta (Alto Alegre)</t>
  </si>
  <si>
    <t>Alta Paulista (Usalpa)</t>
  </si>
  <si>
    <t>Alta Paulista II</t>
  </si>
  <si>
    <t>Alvorada</t>
  </si>
  <si>
    <t>Americana</t>
  </si>
  <si>
    <t>Aroeira</t>
  </si>
  <si>
    <t>Atena Tecnologias - Fazendo Bartira</t>
  </si>
  <si>
    <t>Avaré</t>
  </si>
  <si>
    <t>Baldin Bioenergia</t>
  </si>
  <si>
    <t>Bambuí</t>
  </si>
  <si>
    <t>Bioenergia</t>
  </si>
  <si>
    <t>BIOSEV - Unidade Leme</t>
  </si>
  <si>
    <t>Branco Peres</t>
  </si>
  <si>
    <t>Buriti - Sorriso</t>
  </si>
  <si>
    <t>Cabrera Energética</t>
  </si>
  <si>
    <t>Cachoeira - Tupaciguara</t>
  </si>
  <si>
    <t>Caçú</t>
  </si>
  <si>
    <t>Cafealcool</t>
  </si>
  <si>
    <t>Cambuí</t>
  </si>
  <si>
    <t>Canabrava 1</t>
  </si>
  <si>
    <t>CBB - CIA Bioenergética</t>
  </si>
  <si>
    <t>Cenasa</t>
  </si>
  <si>
    <t>Central Morrinhos</t>
  </si>
  <si>
    <t>Centro Oeste Iguatemi</t>
  </si>
  <si>
    <t>Cerradão</t>
  </si>
  <si>
    <t>Cia. Energética Vale do São Simão</t>
  </si>
  <si>
    <t>Citrosuco</t>
  </si>
  <si>
    <t>Coagro</t>
  </si>
  <si>
    <t>COFCO BRASIL S.A. - Catanduva</t>
  </si>
  <si>
    <t>COFCO BRASIL S.A. - Meridiano</t>
  </si>
  <si>
    <t>COFCO BRASIL S.A. - Potirendaba</t>
  </si>
  <si>
    <t>COFCO BRASIL S.A. - Sebastianópolis do Sul</t>
  </si>
  <si>
    <t>Colombo (Unidade Palestina)</t>
  </si>
  <si>
    <t>Comanche Canitar</t>
  </si>
  <si>
    <t>Comanche-Tatuí</t>
  </si>
  <si>
    <t>Conquista de Minas</t>
  </si>
  <si>
    <t>Coopercana</t>
  </si>
  <si>
    <t>Cooper-Rubi</t>
  </si>
  <si>
    <t>Copersul</t>
  </si>
  <si>
    <t>Coprodia</t>
  </si>
  <si>
    <t>Coruripe - Filial Limeira do Oeste</t>
  </si>
  <si>
    <t>Costa Bioenergia</t>
  </si>
  <si>
    <t>CRV</t>
  </si>
  <si>
    <t>Dacalda</t>
  </si>
  <si>
    <t>DAMFI</t>
  </si>
  <si>
    <t>Dasa</t>
  </si>
  <si>
    <t>Della Coletta</t>
  </si>
  <si>
    <t>Denusa</t>
  </si>
  <si>
    <t>Destilaria Alternativa</t>
  </si>
  <si>
    <t>Diana</t>
  </si>
  <si>
    <t>D'Pádua</t>
  </si>
  <si>
    <t>Energética Serranópolis</t>
  </si>
  <si>
    <t>Engenho Meneghetti</t>
  </si>
  <si>
    <t>Fátima do Sul Agroenergética</t>
  </si>
  <si>
    <t>Figueira - Alcoazul</t>
  </si>
  <si>
    <t>Figueira - Generalco</t>
  </si>
  <si>
    <t>Floresta</t>
  </si>
  <si>
    <t>Frutal Açúcar e Álcool</t>
  </si>
  <si>
    <t>Furlan</t>
  </si>
  <si>
    <t>Goianésia</t>
  </si>
  <si>
    <t>Grizzo</t>
  </si>
  <si>
    <t>Guarani - Unidade Tanabi</t>
  </si>
  <si>
    <t>Guariroba</t>
  </si>
  <si>
    <t>Ibaiti</t>
  </si>
  <si>
    <t>Ibéria</t>
  </si>
  <si>
    <t>Ibirá</t>
  </si>
  <si>
    <t>IMCOPA</t>
  </si>
  <si>
    <t>Ipê</t>
  </si>
  <si>
    <t>Ipiranga</t>
  </si>
  <si>
    <t>Ipiranga II - Santo Alexandre</t>
  </si>
  <si>
    <t>Ipojuca</t>
  </si>
  <si>
    <t>Irmãos Malosso</t>
  </si>
  <si>
    <t>Itajobi</t>
  </si>
  <si>
    <t>Itajubara</t>
  </si>
  <si>
    <t>Ituiutaba</t>
  </si>
  <si>
    <t>Jalles Machado - Otávio Lage</t>
  </si>
  <si>
    <t>Jatiboca</t>
  </si>
  <si>
    <t>Jayoro</t>
  </si>
  <si>
    <t>José Granelli</t>
  </si>
  <si>
    <t>Junco Novo</t>
  </si>
  <si>
    <t>Lago Azul</t>
  </si>
  <si>
    <t>Laguna</t>
  </si>
  <si>
    <t>Lasa</t>
  </si>
  <si>
    <t>Liberdade</t>
  </si>
  <si>
    <t>Londra</t>
  </si>
  <si>
    <t>Lopes da Silva</t>
  </si>
  <si>
    <t>Luso</t>
  </si>
  <si>
    <t>Maity Bioenergia</t>
  </si>
  <si>
    <t>Marituba</t>
  </si>
  <si>
    <t>Melhoramento Ivaí</t>
  </si>
  <si>
    <t>Miriri</t>
  </si>
  <si>
    <t>Monte Alegre - Monte Belo</t>
  </si>
  <si>
    <t>Monte Alegre</t>
  </si>
  <si>
    <t>Monterey</t>
  </si>
  <si>
    <t>Monteverde</t>
  </si>
  <si>
    <t>Nova Era</t>
  </si>
  <si>
    <t>Nova Gália</t>
  </si>
  <si>
    <t>Nova Londrina - Ex Copagra</t>
  </si>
  <si>
    <t>Nova Produtiva</t>
  </si>
  <si>
    <t>Novo Milênio - Un. Lambari</t>
  </si>
  <si>
    <t>Novo Milênio - Un. Mirassol</t>
  </si>
  <si>
    <t>Ouroeste</t>
  </si>
  <si>
    <t>Pagrisa</t>
  </si>
  <si>
    <t>Paineiras</t>
  </si>
  <si>
    <t>Paraiso</t>
  </si>
  <si>
    <t>Pederneiras</t>
  </si>
  <si>
    <t>Penedo (Paisa)</t>
  </si>
  <si>
    <t>Pindorama</t>
  </si>
  <si>
    <t>Pinheiro</t>
  </si>
  <si>
    <t>Pioneiros</t>
  </si>
  <si>
    <t>Porto Alegre</t>
  </si>
  <si>
    <t>Pyles</t>
  </si>
  <si>
    <t>RAIZEN - Benálcool</t>
  </si>
  <si>
    <t>RAIZEN - Bom Retiro</t>
  </si>
  <si>
    <t>RAIZEN - Destivale</t>
  </si>
  <si>
    <t>RAIZEN - Diamante</t>
  </si>
  <si>
    <t>RAIZEN - Ibaté</t>
  </si>
  <si>
    <t>RAIZEN - Mundial</t>
  </si>
  <si>
    <t>RAIZEN - Santa Helena</t>
  </si>
  <si>
    <t>Renuka - Unidade Marialva</t>
  </si>
  <si>
    <t>Ribeirão</t>
  </si>
  <si>
    <t>Rio Claro de Goias</t>
  </si>
  <si>
    <t>Rio do Cachimbo</t>
  </si>
  <si>
    <t>Rio Pardo</t>
  </si>
  <si>
    <t>Rio Vermelho</t>
  </si>
  <si>
    <t>Rosa S/A</t>
  </si>
  <si>
    <t>Santa Adélia</t>
  </si>
  <si>
    <t>Santa Albertina</t>
  </si>
  <si>
    <t>Santa Clotilde</t>
  </si>
  <si>
    <t>Santa Cruz - BA</t>
  </si>
  <si>
    <t>Santa Helena - Nova Andradina</t>
  </si>
  <si>
    <t>Santa Inês</t>
  </si>
  <si>
    <t>Santa Isabel</t>
  </si>
  <si>
    <t>Santa Lúcia</t>
  </si>
  <si>
    <t>Santa Luzia</t>
  </si>
  <si>
    <t>Santa Maria - Porto Calvo</t>
  </si>
  <si>
    <t>Santa Maria - Medeiros Neto</t>
  </si>
  <si>
    <t>Santa Maria - Cerquilho</t>
  </si>
  <si>
    <t>Santa Maria - Manduri</t>
  </si>
  <si>
    <t>Santa Rita</t>
  </si>
  <si>
    <t>Santa Terezinha - Un. Cidade Gaúcha</t>
  </si>
  <si>
    <t>Santa Terezinha - Un. Ivaté</t>
  </si>
  <si>
    <t>Santa Terezinha - Un. Maringá</t>
  </si>
  <si>
    <t>Santa Terezinha - Un. Paranacity</t>
  </si>
  <si>
    <t>Santa Terezinha - Un. Rondon</t>
  </si>
  <si>
    <t>Santa Terezinha - Un. São Tomé</t>
  </si>
  <si>
    <t>Santa Terezinha - Un. Tapejara</t>
  </si>
  <si>
    <t>Santa Terezinha - Un. Terra Rica</t>
  </si>
  <si>
    <t>Santa Vitória</t>
  </si>
  <si>
    <t>Santo Angelo</t>
  </si>
  <si>
    <t>Santo Antonio</t>
  </si>
  <si>
    <t>Santo Antonio - AB</t>
  </si>
  <si>
    <t>São Carlos/Coopcana</t>
  </si>
  <si>
    <t>São Domingos</t>
  </si>
  <si>
    <t>São Fernando</t>
  </si>
  <si>
    <t>São Francisco (Barrinha)</t>
  </si>
  <si>
    <t>São João</t>
  </si>
  <si>
    <t>São João de Araras</t>
  </si>
  <si>
    <t>São Joaquim</t>
  </si>
  <si>
    <t>São José</t>
  </si>
  <si>
    <t>São José Cia Energ.</t>
  </si>
  <si>
    <t>São José da Estiva</t>
  </si>
  <si>
    <t>São José ZL</t>
  </si>
  <si>
    <t>São Judas Tadeu</t>
  </si>
  <si>
    <t>São Luiz - Ourinhos</t>
  </si>
  <si>
    <t>São Manoel</t>
  </si>
  <si>
    <t>São Simão</t>
  </si>
  <si>
    <t>Serra Grande</t>
  </si>
  <si>
    <t>SJC Bioenergia</t>
  </si>
  <si>
    <t>Sonora Estância</t>
  </si>
  <si>
    <t>Sumaúma</t>
  </si>
  <si>
    <t>Tabu</t>
  </si>
  <si>
    <t>Taquari</t>
  </si>
  <si>
    <t>TG</t>
  </si>
  <si>
    <t>TGM Destilaria</t>
  </si>
  <si>
    <t>Tropical</t>
  </si>
  <si>
    <t>Uberaba</t>
  </si>
  <si>
    <t>UMOE Bioenergy</t>
  </si>
  <si>
    <t>Una Açúcar</t>
  </si>
  <si>
    <t>Unialco</t>
  </si>
  <si>
    <t>União e Indústria</t>
  </si>
  <si>
    <t>Unidade Tietê</t>
  </si>
  <si>
    <t>Uruaçu</t>
  </si>
  <si>
    <t>Usina Madhu(Equipav)</t>
  </si>
  <si>
    <t>Usina Santa Isabel S/A - Fartura</t>
  </si>
  <si>
    <t>Usina Zanin</t>
  </si>
  <si>
    <t>UTE - Iolando Leite</t>
  </si>
  <si>
    <t>Vale do Paracatu</t>
  </si>
  <si>
    <t>Vale do Paraná S/A Álcool e Açúcar</t>
  </si>
  <si>
    <t>Vale do Tijuco</t>
  </si>
  <si>
    <t>Vale do Verdão</t>
  </si>
  <si>
    <t>Vale Verde</t>
  </si>
  <si>
    <t>Vale Verde - Filial II</t>
  </si>
  <si>
    <t>Veredas</t>
  </si>
  <si>
    <t>Vertente</t>
  </si>
  <si>
    <t>Vicentina</t>
  </si>
  <si>
    <t>Viralcool</t>
  </si>
  <si>
    <t>Viralcool / Castilho</t>
  </si>
  <si>
    <t>Virgolino de Oliveira</t>
  </si>
  <si>
    <t>Virgolino de Oliveira - Catanduva</t>
  </si>
  <si>
    <t>Virgolino de Oliveira - Unid. Monções</t>
  </si>
  <si>
    <t>Virgolino Nossa Sra Aparecida</t>
  </si>
  <si>
    <t>Vista Alegre</t>
  </si>
  <si>
    <t>WD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</si>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</sst>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8EAADB"/>
      </right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/>
      <diagonal/>
    </border>
    <border>
      <left/>
      <right style="thin">
        <color rgb="FF8EAADB"/>
      </right>
      <top style="thin">
        <color rgb="FF8EAADB"/>
      </top>
      <bottom style="thin">
        <color rgb="FF8EAA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8EAADB"/>
      </left>
      <right/>
      <top/>
      <bottom/>
      <diagonal/>
    </border>
    <border>
      <left/>
      <right style="thin">
        <color rgb="FF8EAADB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3" borderId="1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5" fillId="4" borderId="4" xfId="0" applyFont="1" applyFill="1" applyBorder="1"/>
    <xf numFmtId="0" fontId="5" fillId="0" borderId="4" xfId="0" applyFont="1" applyBorder="1"/>
    <xf numFmtId="0" fontId="2" fillId="2" borderId="5" xfId="0" applyFont="1" applyFill="1" applyBorder="1"/>
    <xf numFmtId="0" fontId="3" fillId="2" borderId="6" xfId="0" applyFont="1" applyFill="1" applyBorder="1"/>
    <xf numFmtId="0" fontId="5" fillId="0" borderId="7" xfId="0" applyFont="1" applyBorder="1"/>
    <xf numFmtId="9" fontId="0" fillId="0" borderId="0" xfId="0" applyNumberFormat="1"/>
    <xf numFmtId="9" fontId="0" fillId="5" borderId="0" xfId="0" applyNumberFormat="1" applyFill="1"/>
    <xf numFmtId="0" fontId="5" fillId="0" borderId="8" xfId="0" applyFont="1" applyBorder="1"/>
    <xf numFmtId="0" fontId="7" fillId="0" borderId="0" xfId="0" applyFont="1"/>
    <xf numFmtId="0" fontId="1" fillId="0" borderId="0" xfId="0" applyFont="1"/>
    <xf numFmtId="0" fontId="5" fillId="0" borderId="0" xfId="0" applyFont="1"/>
    <xf numFmtId="0" fontId="5" fillId="0" borderId="4" xfId="0" applyFont="1" applyFill="1" applyBorder="1"/>
    <xf numFmtId="0" fontId="0" fillId="0" borderId="0" xfId="0" applyFill="1"/>
    <xf numFmtId="0" fontId="5" fillId="0" borderId="0" xfId="0" applyFont="1" applyFill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3EB3AE-0EE2-4FE6-89DB-D05E99C2868F}" name="Tabela2" displayName="Tabela2" ref="A1:D336" totalsRowShown="0" tableBorderDxfId="18">
  <autoFilter ref="A1:D336" xr:uid="{5F3EB3AE-0EE2-4FE6-89DB-D05E99C2868F}"/>
  <tableColumns count="4">
    <tableColumn id="1" xr3:uid="{87105592-CE67-4C43-8DEC-6FE647406B16}" name="Mills" dataDxfId="17"/>
    <tableColumn id="4" xr3:uid="{4301A473-013C-4FB7-93A2-E46DB83CDDF0}" name="Sugarcane Capacity (ton)" dataDxfId="16"/>
    <tableColumn id="2" xr3:uid="{5CC24701-3F7E-43B8-BB1C-F805FD734AC8}" name="Latitude" dataDxfId="15"/>
    <tableColumn id="3" xr3:uid="{532F1596-13AC-415C-A511-D0265AC02F26}" name="Longitud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51FEC6-B851-4632-9594-E737842898E6}" name="Tabela24" displayName="Tabela24" ref="A1:D116" totalsRowShown="0" tableBorderDxfId="13">
  <autoFilter ref="A1:D116" xr:uid="{EC2D6CA5-AE37-463E-9B48-0125C03CD3EB}"/>
  <tableColumns count="4">
    <tableColumn id="1" xr3:uid="{4C0ACF50-AEB2-4FB2-94C5-9817935CC8B0}" name="Mills" dataDxfId="12"/>
    <tableColumn id="4" xr3:uid="{053A3D64-458D-4273-B2AC-96C43A3BC5FA}" name="Sugarcane Capacity (ton)" dataDxfId="11"/>
    <tableColumn id="2" xr3:uid="{F4B6E91B-9ADA-4936-8A47-6C37CCFE38A3}" name="Latitude" dataDxfId="10"/>
    <tableColumn id="3" xr3:uid="{1816B3AC-9A11-4404-8149-CF32255AC1E7}" name="Longitude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7D574D-7120-4CE0-878F-36D23D218A7E}" name="Tabela25" displayName="Tabela25" ref="A1:D221" totalsRowShown="0" tableBorderDxfId="8">
  <autoFilter ref="A1:D221" xr:uid="{EB871496-D2A7-4CD4-80E7-9D3F0ACD6BF3}"/>
  <tableColumns count="4">
    <tableColumn id="1" xr3:uid="{6B857AE0-C781-419B-B0F4-C15D74F46CE9}" name="Mills" dataDxfId="7"/>
    <tableColumn id="4" xr3:uid="{F8F90B40-B382-42CB-BCCA-9E04806BC2D7}" name="Sugarcane Capacity (ton)" dataDxfId="6"/>
    <tableColumn id="2" xr3:uid="{DA491896-1A37-4BF9-A1FD-D1063992CF92}" name="Latitude" dataDxfId="5"/>
    <tableColumn id="3" xr3:uid="{0232A069-3598-4C55-8857-3901AC85954D}" name="Longitude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B1386-9BA3-48A7-B80E-2EAA95B24FA8}" name="Tabela22" displayName="Tabela22" ref="A1:B102" totalsRowCount="1" tableBorderDxfId="3">
  <autoFilter ref="A1:B101" xr:uid="{5F3EB3AE-0EE2-4FE6-89DB-D05E99C2868F}"/>
  <tableColumns count="2">
    <tableColumn id="1" xr3:uid="{2A2870B4-4ECC-4A04-B5F1-EAC4FA726C87}" name="Mills" dataDxfId="2" totalsRowDxfId="1"/>
    <tableColumn id="2" xr3:uid="{236AD64E-A79D-4D82-A631-C56EBEAF8968}" name="Sugarcane Capacity (ton)" totalsRowFunction="custom" totalsRowDxfId="0">
      <totalsRowFormula>SUM(B2:B101)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"/>
  <sheetViews>
    <sheetView showGridLines="0" workbookViewId="0">
      <selection sqref="A1:D1048576"/>
    </sheetView>
  </sheetViews>
  <sheetFormatPr defaultColWidth="14.42578125" defaultRowHeight="15" customHeight="1" x14ac:dyDescent="0.25"/>
  <cols>
    <col min="1" max="2" width="32.85546875" customWidth="1"/>
    <col min="3" max="24" width="8.7109375" customWidth="1"/>
  </cols>
  <sheetData>
    <row r="1" spans="1:4" ht="14.25" customHeight="1" x14ac:dyDescent="0.25">
      <c r="A1" s="6" t="s">
        <v>0</v>
      </c>
      <c r="B1" s="7" t="s">
        <v>1</v>
      </c>
      <c r="C1" t="s">
        <v>346</v>
      </c>
      <c r="D1" t="s">
        <v>347</v>
      </c>
    </row>
    <row r="2" spans="1:4" ht="14.25" customHeight="1" x14ac:dyDescent="0.25">
      <c r="A2" t="s">
        <v>6</v>
      </c>
      <c r="B2">
        <v>3000000</v>
      </c>
      <c r="C2" s="11">
        <v>-21.927530000000001</v>
      </c>
      <c r="D2" s="11">
        <v>-46.924810000000001</v>
      </c>
    </row>
    <row r="3" spans="1:4" ht="14.25" customHeight="1" x14ac:dyDescent="0.25">
      <c r="A3" t="s">
        <v>7</v>
      </c>
      <c r="B3">
        <v>3000000</v>
      </c>
      <c r="C3" s="5">
        <v>-21.885300000000001</v>
      </c>
      <c r="D3" s="5">
        <v>-47.305900000000001</v>
      </c>
    </row>
    <row r="4" spans="1:4" ht="14.25" customHeight="1" x14ac:dyDescent="0.25">
      <c r="A4" t="s">
        <v>8</v>
      </c>
      <c r="B4">
        <v>5000000</v>
      </c>
      <c r="C4" s="5">
        <v>-22.392628999999999</v>
      </c>
      <c r="D4" s="5">
        <v>-53.885371999999997</v>
      </c>
    </row>
    <row r="5" spans="1:4" ht="14.25" customHeight="1" x14ac:dyDescent="0.25">
      <c r="A5" t="s">
        <v>136</v>
      </c>
      <c r="B5">
        <v>1000000</v>
      </c>
      <c r="C5" s="5">
        <v>-22.6035</v>
      </c>
      <c r="D5" s="5">
        <v>-42.1571</v>
      </c>
    </row>
    <row r="6" spans="1:4" ht="14.25" customHeight="1" x14ac:dyDescent="0.25">
      <c r="A6" t="s">
        <v>122</v>
      </c>
      <c r="B6">
        <v>1000000</v>
      </c>
      <c r="C6" s="5">
        <v>-8.6253600000000006</v>
      </c>
      <c r="D6" s="5">
        <v>-35.525700000000001</v>
      </c>
    </row>
    <row r="7" spans="1:4" ht="14.25" customHeight="1" x14ac:dyDescent="0.25">
      <c r="A7" t="s">
        <v>123</v>
      </c>
      <c r="B7">
        <v>1000000</v>
      </c>
      <c r="C7" s="5">
        <v>-4.8339999999999996</v>
      </c>
      <c r="D7" s="5">
        <v>-37.780999999999999</v>
      </c>
    </row>
    <row r="8" spans="1:4" ht="14.25" customHeight="1" x14ac:dyDescent="0.25">
      <c r="A8" t="s">
        <v>137</v>
      </c>
      <c r="B8">
        <v>2000000</v>
      </c>
      <c r="C8" s="5">
        <v>-19.253299999999999</v>
      </c>
      <c r="D8" s="5">
        <v>-44.981400000000001</v>
      </c>
    </row>
    <row r="9" spans="1:4" ht="14.25" customHeight="1" x14ac:dyDescent="0.25">
      <c r="A9" t="s">
        <v>124</v>
      </c>
      <c r="B9">
        <v>1000000</v>
      </c>
      <c r="C9" s="5">
        <v>-6.8112000000000004</v>
      </c>
      <c r="D9" s="5">
        <v>-45.878500000000003</v>
      </c>
    </row>
    <row r="10" spans="1:4" ht="14.25" customHeight="1" x14ac:dyDescent="0.25">
      <c r="A10" t="s">
        <v>138</v>
      </c>
      <c r="B10">
        <v>2000000</v>
      </c>
      <c r="C10" s="5">
        <v>-22.745999999999999</v>
      </c>
      <c r="D10" s="5">
        <v>-50.601500000000001</v>
      </c>
    </row>
    <row r="11" spans="1:4" ht="14.25" customHeight="1" x14ac:dyDescent="0.25">
      <c r="A11" t="s">
        <v>139</v>
      </c>
      <c r="B11">
        <v>1000000</v>
      </c>
      <c r="C11" s="5">
        <v>-20.2364</v>
      </c>
      <c r="D11" s="5">
        <v>-50.345300000000002</v>
      </c>
    </row>
    <row r="12" spans="1:4" ht="14.25" customHeight="1" x14ac:dyDescent="0.25">
      <c r="A12" t="s">
        <v>140</v>
      </c>
      <c r="B12">
        <v>1000000</v>
      </c>
      <c r="C12" s="5">
        <v>-18.4557</v>
      </c>
      <c r="D12" s="5">
        <v>-39.946399999999997</v>
      </c>
    </row>
    <row r="13" spans="1:4" ht="14.25" customHeight="1" x14ac:dyDescent="0.25">
      <c r="A13" t="s">
        <v>110</v>
      </c>
      <c r="B13">
        <v>2000000</v>
      </c>
      <c r="C13" s="5">
        <v>-8.2262710000000006</v>
      </c>
      <c r="D13" s="5">
        <v>-35.275554</v>
      </c>
    </row>
    <row r="14" spans="1:4" ht="14.25" customHeight="1" x14ac:dyDescent="0.25">
      <c r="A14" t="s">
        <v>141</v>
      </c>
      <c r="B14">
        <v>2000000</v>
      </c>
      <c r="C14" s="5">
        <v>-20.087299999999999</v>
      </c>
      <c r="D14" s="5">
        <v>-51.298999999999999</v>
      </c>
    </row>
    <row r="15" spans="1:4" ht="14.25" customHeight="1" x14ac:dyDescent="0.25">
      <c r="A15" t="s">
        <v>142</v>
      </c>
      <c r="B15">
        <v>2000000</v>
      </c>
      <c r="C15" s="5">
        <v>-21.865100000000002</v>
      </c>
      <c r="D15" s="5">
        <v>-51.258699999999997</v>
      </c>
    </row>
    <row r="16" spans="1:4" ht="14.25" customHeight="1" x14ac:dyDescent="0.25">
      <c r="A16" t="s">
        <v>9</v>
      </c>
      <c r="B16">
        <v>5500000</v>
      </c>
      <c r="C16" s="5">
        <v>-20.480029999999999</v>
      </c>
      <c r="D16" s="5">
        <v>-47.874400000000001</v>
      </c>
    </row>
    <row r="17" spans="1:4" ht="14.25" customHeight="1" x14ac:dyDescent="0.25">
      <c r="A17" t="s">
        <v>143</v>
      </c>
      <c r="B17">
        <v>2000000</v>
      </c>
      <c r="C17" s="5">
        <v>-21.589289999999998</v>
      </c>
      <c r="D17" s="5">
        <v>-51.455970000000001</v>
      </c>
    </row>
    <row r="18" spans="1:4" ht="14.25" customHeight="1" x14ac:dyDescent="0.25">
      <c r="A18" t="s">
        <v>144</v>
      </c>
      <c r="B18">
        <v>2000000</v>
      </c>
      <c r="C18" s="5">
        <v>-21.589110000000002</v>
      </c>
      <c r="D18" s="5">
        <v>-51.675775000000002</v>
      </c>
    </row>
    <row r="19" spans="1:4" ht="14.25" customHeight="1" x14ac:dyDescent="0.25">
      <c r="A19" t="s">
        <v>10</v>
      </c>
      <c r="B19">
        <v>3000000</v>
      </c>
      <c r="C19" s="5">
        <v>-22.873699999999999</v>
      </c>
      <c r="D19" s="5">
        <v>-51.412100000000002</v>
      </c>
    </row>
    <row r="20" spans="1:4" ht="14.25" customHeight="1" x14ac:dyDescent="0.25">
      <c r="A20" t="s">
        <v>11</v>
      </c>
      <c r="B20">
        <v>4000000</v>
      </c>
      <c r="C20" s="5">
        <v>-22.930099999999999</v>
      </c>
      <c r="D20" s="5">
        <v>-51.950699999999998</v>
      </c>
    </row>
    <row r="21" spans="1:4" ht="14.25" customHeight="1" x14ac:dyDescent="0.25">
      <c r="A21" t="s">
        <v>12</v>
      </c>
      <c r="B21">
        <v>4000000</v>
      </c>
      <c r="C21" s="5">
        <v>-22.6509</v>
      </c>
      <c r="D21" s="5">
        <v>-51.804099999999998</v>
      </c>
    </row>
    <row r="22" spans="1:4" ht="14.25" customHeight="1" x14ac:dyDescent="0.25">
      <c r="A22" t="s">
        <v>13</v>
      </c>
      <c r="B22">
        <v>4000000</v>
      </c>
      <c r="C22" s="5">
        <v>-17.733529999999998</v>
      </c>
      <c r="D22" s="5">
        <v>-53.30491</v>
      </c>
    </row>
    <row r="23" spans="1:4" ht="14.25" customHeight="1" x14ac:dyDescent="0.25">
      <c r="A23" t="s">
        <v>145</v>
      </c>
      <c r="B23">
        <v>2000000</v>
      </c>
      <c r="C23" s="5">
        <v>-18.441099999999999</v>
      </c>
      <c r="D23" s="5">
        <v>-49.190100000000001</v>
      </c>
    </row>
    <row r="24" spans="1:4" ht="14.25" customHeight="1" x14ac:dyDescent="0.25">
      <c r="A24" t="s">
        <v>146</v>
      </c>
      <c r="B24">
        <v>1000000</v>
      </c>
      <c r="C24" s="5">
        <v>-23.389900000000001</v>
      </c>
      <c r="D24" s="5">
        <v>-50.710900000000002</v>
      </c>
    </row>
    <row r="25" spans="1:4" ht="14.25" customHeight="1" x14ac:dyDescent="0.25">
      <c r="A25" t="s">
        <v>14</v>
      </c>
      <c r="B25">
        <v>3000000</v>
      </c>
      <c r="C25" s="5">
        <v>-21.00234</v>
      </c>
      <c r="D25" s="5">
        <v>-48.285310000000003</v>
      </c>
    </row>
    <row r="26" spans="1:4" ht="14.25" customHeight="1" x14ac:dyDescent="0.25">
      <c r="A26" t="s">
        <v>15</v>
      </c>
      <c r="B26">
        <v>4000000</v>
      </c>
      <c r="C26" s="5">
        <v>-22.035212000000001</v>
      </c>
      <c r="D26" s="5">
        <v>-53.844486000000003</v>
      </c>
    </row>
    <row r="27" spans="1:4" ht="14.25" customHeight="1" x14ac:dyDescent="0.25">
      <c r="A27" t="s">
        <v>16</v>
      </c>
      <c r="B27">
        <v>3000000</v>
      </c>
      <c r="C27" s="5">
        <v>-16.4146</v>
      </c>
      <c r="D27" s="5">
        <v>-49.945500000000003</v>
      </c>
    </row>
    <row r="28" spans="1:4" ht="14.25" customHeight="1" x14ac:dyDescent="0.25">
      <c r="A28" t="s">
        <v>147</v>
      </c>
      <c r="B28">
        <v>1000000</v>
      </c>
      <c r="C28" s="5">
        <v>-18.662357</v>
      </c>
      <c r="D28" s="5">
        <v>-48.659761000000003</v>
      </c>
    </row>
    <row r="29" spans="1:4" ht="14.25" customHeight="1" x14ac:dyDescent="0.25">
      <c r="A29" t="s">
        <v>148</v>
      </c>
      <c r="B29">
        <v>1000000</v>
      </c>
      <c r="C29" s="5">
        <v>-22.150700000000001</v>
      </c>
      <c r="D29" s="5">
        <v>-51.028599999999997</v>
      </c>
    </row>
    <row r="30" spans="1:4" ht="14.25" customHeight="1" x14ac:dyDescent="0.25">
      <c r="A30" t="s">
        <v>149</v>
      </c>
      <c r="B30">
        <v>2000000</v>
      </c>
      <c r="C30" s="5">
        <v>-22.914076999999999</v>
      </c>
      <c r="D30" s="5">
        <v>-49.000186999999997</v>
      </c>
    </row>
    <row r="31" spans="1:4" ht="14.25" customHeight="1" x14ac:dyDescent="0.25">
      <c r="A31" t="s">
        <v>125</v>
      </c>
      <c r="B31">
        <v>1000000</v>
      </c>
      <c r="C31" s="5">
        <v>-17.641961999999999</v>
      </c>
      <c r="D31" s="5">
        <v>-40.182929000000001</v>
      </c>
    </row>
    <row r="32" spans="1:4" ht="14.25" customHeight="1" x14ac:dyDescent="0.25">
      <c r="A32" t="s">
        <v>150</v>
      </c>
      <c r="B32">
        <v>2000000</v>
      </c>
      <c r="C32" s="5">
        <v>-22.011500000000002</v>
      </c>
      <c r="D32" s="5">
        <v>-47.445</v>
      </c>
    </row>
    <row r="33" spans="1:4" ht="14.25" customHeight="1" x14ac:dyDescent="0.25">
      <c r="A33" t="s">
        <v>151</v>
      </c>
      <c r="B33">
        <v>2000000</v>
      </c>
      <c r="C33" s="5">
        <v>-20.08623</v>
      </c>
      <c r="D33" s="5">
        <v>-46.043568999999998</v>
      </c>
    </row>
    <row r="34" spans="1:4" ht="14.25" customHeight="1" x14ac:dyDescent="0.25">
      <c r="A34" t="s">
        <v>17</v>
      </c>
      <c r="B34">
        <v>3000000</v>
      </c>
      <c r="C34" s="5">
        <v>-23.097300000000001</v>
      </c>
      <c r="D34" s="5">
        <v>-50.348700000000001</v>
      </c>
    </row>
    <row r="35" spans="1:4" ht="14.25" customHeight="1" x14ac:dyDescent="0.25">
      <c r="A35" t="s">
        <v>18</v>
      </c>
      <c r="B35">
        <v>5000000</v>
      </c>
      <c r="C35" s="5">
        <v>-22.625299999999999</v>
      </c>
      <c r="D35" s="5">
        <v>-48.756799999999998</v>
      </c>
    </row>
    <row r="36" spans="1:4" ht="14.25" customHeight="1" x14ac:dyDescent="0.25">
      <c r="A36" t="s">
        <v>19</v>
      </c>
      <c r="B36">
        <v>3000000</v>
      </c>
      <c r="C36" s="5">
        <v>-15.034599999999999</v>
      </c>
      <c r="D36" s="5">
        <v>-57.217500000000001</v>
      </c>
    </row>
    <row r="37" spans="1:4" ht="14.25" customHeight="1" x14ac:dyDescent="0.25">
      <c r="A37" t="s">
        <v>20</v>
      </c>
      <c r="B37">
        <v>4000000</v>
      </c>
      <c r="C37" s="5">
        <v>-20.745100000000001</v>
      </c>
      <c r="D37" s="5">
        <v>-47.569800000000001</v>
      </c>
    </row>
    <row r="38" spans="1:4" ht="14.25" customHeight="1" x14ac:dyDescent="0.25">
      <c r="A38" t="s">
        <v>21</v>
      </c>
      <c r="B38">
        <v>3000000</v>
      </c>
      <c r="C38" s="5">
        <v>-21.6005</v>
      </c>
      <c r="D38" s="5">
        <v>-49.54</v>
      </c>
    </row>
    <row r="39" spans="1:4" ht="14.25" customHeight="1" x14ac:dyDescent="0.25">
      <c r="A39" t="s">
        <v>22</v>
      </c>
      <c r="B39">
        <v>4000000</v>
      </c>
      <c r="C39" s="5">
        <v>-21.000309999999999</v>
      </c>
      <c r="D39" s="5">
        <v>-48.021030000000003</v>
      </c>
    </row>
    <row r="40" spans="1:4" ht="14.25" customHeight="1" x14ac:dyDescent="0.25">
      <c r="A40" t="s">
        <v>23</v>
      </c>
      <c r="B40">
        <v>4000000</v>
      </c>
      <c r="C40" s="5">
        <v>-20.941800000000001</v>
      </c>
      <c r="D40" s="5">
        <v>-48.08426</v>
      </c>
    </row>
    <row r="41" spans="1:4" ht="14.25" customHeight="1" x14ac:dyDescent="0.25">
      <c r="A41" t="s">
        <v>24</v>
      </c>
      <c r="B41">
        <v>3000000</v>
      </c>
      <c r="C41" s="5">
        <v>-17.063880000000001</v>
      </c>
      <c r="D41" s="5">
        <v>-46.18</v>
      </c>
    </row>
    <row r="42" spans="1:4" ht="14.25" customHeight="1" x14ac:dyDescent="0.25">
      <c r="A42" t="s">
        <v>152</v>
      </c>
      <c r="B42">
        <v>2000000</v>
      </c>
      <c r="C42" s="5">
        <v>-21.566099999999999</v>
      </c>
      <c r="D42" s="5">
        <v>-50.959800000000001</v>
      </c>
    </row>
    <row r="43" spans="1:4" ht="14.25" customHeight="1" x14ac:dyDescent="0.25">
      <c r="A43" t="s">
        <v>126</v>
      </c>
      <c r="B43">
        <v>1000000</v>
      </c>
      <c r="C43" s="5">
        <v>-9.7742000000000004</v>
      </c>
      <c r="D43" s="5">
        <v>-36.085377999999999</v>
      </c>
    </row>
    <row r="44" spans="1:4" ht="14.25" customHeight="1" x14ac:dyDescent="0.25">
      <c r="A44" t="s">
        <v>25</v>
      </c>
      <c r="B44">
        <v>4000000</v>
      </c>
      <c r="C44" s="5">
        <v>-21.217414999999999</v>
      </c>
      <c r="D44" s="5">
        <v>-50.206918000000002</v>
      </c>
    </row>
    <row r="45" spans="1:4" ht="14.25" customHeight="1" x14ac:dyDescent="0.25">
      <c r="A45" t="s">
        <v>111</v>
      </c>
      <c r="B45">
        <v>2000000</v>
      </c>
      <c r="C45" s="5">
        <v>-6.2329100000000004</v>
      </c>
      <c r="D45" s="5">
        <v>-35.21</v>
      </c>
    </row>
    <row r="46" spans="1:4" ht="14.25" customHeight="1" x14ac:dyDescent="0.25">
      <c r="A46" t="s">
        <v>26</v>
      </c>
      <c r="B46">
        <v>3000000</v>
      </c>
      <c r="C46" s="5">
        <v>-20.2363</v>
      </c>
      <c r="D46" s="5">
        <v>-48.623600000000003</v>
      </c>
    </row>
    <row r="47" spans="1:4" ht="14.25" customHeight="1" x14ac:dyDescent="0.25">
      <c r="A47" t="s">
        <v>27</v>
      </c>
      <c r="B47">
        <v>3000000</v>
      </c>
      <c r="C47" s="5">
        <v>-20.07611</v>
      </c>
      <c r="D47" s="5">
        <v>-45.565249999999999</v>
      </c>
    </row>
    <row r="48" spans="1:4" ht="14.25" customHeight="1" x14ac:dyDescent="0.25">
      <c r="A48" t="s">
        <v>153</v>
      </c>
      <c r="B48">
        <v>2000000</v>
      </c>
      <c r="C48" s="5">
        <v>-22.161490000000001</v>
      </c>
      <c r="D48" s="5">
        <v>-47.25911</v>
      </c>
    </row>
    <row r="49" spans="1:4" ht="14.25" customHeight="1" x14ac:dyDescent="0.25">
      <c r="A49" t="s">
        <v>28</v>
      </c>
      <c r="B49">
        <v>3000000</v>
      </c>
      <c r="C49" s="5">
        <v>-20.78265</v>
      </c>
      <c r="D49" s="5">
        <v>-48.201340000000002</v>
      </c>
    </row>
    <row r="50" spans="1:4" ht="14.25" customHeight="1" x14ac:dyDescent="0.25">
      <c r="A50" t="s">
        <v>29</v>
      </c>
      <c r="B50">
        <v>3000000</v>
      </c>
      <c r="C50" s="5">
        <v>-21.485099999999999</v>
      </c>
      <c r="D50" s="5">
        <v>-54.511600000000001</v>
      </c>
    </row>
    <row r="51" spans="1:4" ht="14.25" customHeight="1" x14ac:dyDescent="0.25">
      <c r="A51" t="s">
        <v>127</v>
      </c>
      <c r="B51">
        <v>1000000</v>
      </c>
      <c r="C51" s="5">
        <v>-7.3533900000000001</v>
      </c>
      <c r="D51" s="5">
        <v>-35.028300000000002</v>
      </c>
    </row>
    <row r="52" spans="1:4" ht="14.25" customHeight="1" x14ac:dyDescent="0.25">
      <c r="A52" t="s">
        <v>30</v>
      </c>
      <c r="B52">
        <v>5000000</v>
      </c>
      <c r="C52" s="5">
        <v>-21.517800000000001</v>
      </c>
      <c r="D52" s="5">
        <v>-54.711100000000002</v>
      </c>
    </row>
    <row r="53" spans="1:4" ht="14.25" customHeight="1" x14ac:dyDescent="0.25">
      <c r="A53" t="s">
        <v>31</v>
      </c>
      <c r="B53">
        <v>5500000</v>
      </c>
      <c r="C53" s="5">
        <v>-21.109660000000002</v>
      </c>
      <c r="D53" s="5">
        <v>-48.077449999999999</v>
      </c>
    </row>
    <row r="54" spans="1:4" ht="14.25" customHeight="1" x14ac:dyDescent="0.25">
      <c r="A54" t="s">
        <v>32</v>
      </c>
      <c r="B54">
        <v>5500000</v>
      </c>
      <c r="C54" s="5">
        <v>-20.615790000000001</v>
      </c>
      <c r="D54" s="5">
        <v>-48.000399999999999</v>
      </c>
    </row>
    <row r="55" spans="1:4" ht="14.25" customHeight="1" x14ac:dyDescent="0.25">
      <c r="A55" t="s">
        <v>33</v>
      </c>
      <c r="B55">
        <v>5000000</v>
      </c>
      <c r="C55" s="5">
        <v>-18.432976</v>
      </c>
      <c r="D55" s="5">
        <v>-50.261442000000002</v>
      </c>
    </row>
    <row r="56" spans="1:4" ht="14.25" customHeight="1" x14ac:dyDescent="0.25">
      <c r="A56" t="s">
        <v>128</v>
      </c>
      <c r="B56">
        <v>1000000</v>
      </c>
      <c r="C56" s="5">
        <v>-8.2390290000000004</v>
      </c>
      <c r="D56" s="5">
        <v>-35.033861999999999</v>
      </c>
    </row>
    <row r="57" spans="1:4" ht="14.25" customHeight="1" x14ac:dyDescent="0.25">
      <c r="A57" t="s">
        <v>34</v>
      </c>
      <c r="B57">
        <v>3000000</v>
      </c>
      <c r="C57" s="5">
        <v>-18.287108</v>
      </c>
      <c r="D57" s="5">
        <v>-49.236919</v>
      </c>
    </row>
    <row r="58" spans="1:4" ht="14.25" customHeight="1" x14ac:dyDescent="0.25">
      <c r="A58" t="s">
        <v>154</v>
      </c>
      <c r="B58">
        <v>1000000</v>
      </c>
      <c r="C58" s="5">
        <v>-21.489799999999999</v>
      </c>
      <c r="D58" s="5">
        <v>-51.029699999999998</v>
      </c>
    </row>
    <row r="59" spans="1:4" ht="14.25" customHeight="1" x14ac:dyDescent="0.25">
      <c r="A59" t="s">
        <v>35</v>
      </c>
      <c r="B59">
        <v>4000000</v>
      </c>
      <c r="C59" s="5">
        <v>-17.760231000000001</v>
      </c>
      <c r="D59" s="5">
        <v>-53.028979</v>
      </c>
    </row>
    <row r="60" spans="1:4" ht="14.25" customHeight="1" x14ac:dyDescent="0.25">
      <c r="A60" t="s">
        <v>155</v>
      </c>
      <c r="B60">
        <v>1000000</v>
      </c>
      <c r="C60" s="5">
        <v>-12.545</v>
      </c>
      <c r="D60" s="5">
        <v>-55.710999999999999</v>
      </c>
    </row>
    <row r="61" spans="1:4" ht="14.25" customHeight="1" x14ac:dyDescent="0.25">
      <c r="A61" t="s">
        <v>107</v>
      </c>
      <c r="B61">
        <v>3000000</v>
      </c>
      <c r="C61" s="5">
        <v>-20.218399999999999</v>
      </c>
      <c r="D61" s="5">
        <v>-47.653500000000001</v>
      </c>
    </row>
    <row r="62" spans="1:4" ht="14.25" customHeight="1" x14ac:dyDescent="0.25">
      <c r="A62" t="s">
        <v>156</v>
      </c>
      <c r="B62">
        <v>2000000</v>
      </c>
      <c r="C62" s="5">
        <v>-19.296593999999999</v>
      </c>
      <c r="D62" s="5">
        <v>-50.794511999999997</v>
      </c>
    </row>
    <row r="63" spans="1:4" ht="14.25" customHeight="1" x14ac:dyDescent="0.25">
      <c r="A63" t="s">
        <v>157</v>
      </c>
      <c r="B63">
        <v>1000000</v>
      </c>
      <c r="C63" s="5">
        <v>-18.517900000000001</v>
      </c>
      <c r="D63" s="5">
        <v>-48.727699999999999</v>
      </c>
    </row>
    <row r="64" spans="1:4" ht="14.25" customHeight="1" x14ac:dyDescent="0.25">
      <c r="A64" t="s">
        <v>158</v>
      </c>
      <c r="B64">
        <v>2000000</v>
      </c>
      <c r="C64" s="5">
        <v>-17.687816000000002</v>
      </c>
      <c r="D64" s="5">
        <v>-49.986283</v>
      </c>
    </row>
    <row r="65" spans="1:4" ht="14.25" customHeight="1" x14ac:dyDescent="0.25">
      <c r="A65" t="s">
        <v>112</v>
      </c>
      <c r="B65">
        <v>2000000</v>
      </c>
      <c r="C65" s="5">
        <v>-9.7938580000000002</v>
      </c>
      <c r="D65" s="5">
        <v>-36.048304000000002</v>
      </c>
    </row>
    <row r="66" spans="1:4" ht="14.25" customHeight="1" x14ac:dyDescent="0.25">
      <c r="A66" t="s">
        <v>5</v>
      </c>
      <c r="B66">
        <v>5000000</v>
      </c>
      <c r="C66" s="5">
        <v>-21.278490000000001</v>
      </c>
      <c r="D66" s="5">
        <v>-51.775100000000002</v>
      </c>
    </row>
    <row r="67" spans="1:4" ht="14.25" customHeight="1" x14ac:dyDescent="0.25">
      <c r="A67" t="s">
        <v>159</v>
      </c>
      <c r="B67">
        <v>1000000</v>
      </c>
      <c r="C67" s="5">
        <v>-21.773599999999998</v>
      </c>
      <c r="D67" s="5">
        <v>-49.611400000000003</v>
      </c>
    </row>
    <row r="68" spans="1:4" ht="14.25" customHeight="1" x14ac:dyDescent="0.25">
      <c r="A68" t="s">
        <v>129</v>
      </c>
      <c r="B68">
        <v>1000000</v>
      </c>
      <c r="C68" s="5">
        <v>-9.1289219999999993</v>
      </c>
      <c r="D68" s="5">
        <v>-35.549142000000003</v>
      </c>
    </row>
    <row r="69" spans="1:4" ht="14.25" customHeight="1" x14ac:dyDescent="0.25">
      <c r="A69" t="s">
        <v>160</v>
      </c>
      <c r="B69">
        <v>2000000</v>
      </c>
      <c r="C69" s="5">
        <v>-17.925315999999999</v>
      </c>
      <c r="D69" s="5">
        <v>-50.635012000000003</v>
      </c>
    </row>
    <row r="70" spans="1:4" ht="14.25" customHeight="1" x14ac:dyDescent="0.25">
      <c r="A70" t="s">
        <v>130</v>
      </c>
      <c r="B70">
        <v>1000000</v>
      </c>
      <c r="C70" s="5">
        <v>-10.483238999999999</v>
      </c>
      <c r="D70" s="5">
        <v>-37.120959999999997</v>
      </c>
    </row>
    <row r="71" spans="1:4" ht="14.25" customHeight="1" x14ac:dyDescent="0.25">
      <c r="A71" t="s">
        <v>161</v>
      </c>
      <c r="B71">
        <v>2000000</v>
      </c>
      <c r="C71" s="5">
        <v>-21.526184000000001</v>
      </c>
      <c r="D71" s="5">
        <v>-41.258296999999999</v>
      </c>
    </row>
    <row r="72" spans="1:4" ht="14.25" customHeight="1" x14ac:dyDescent="0.25">
      <c r="A72" t="s">
        <v>37</v>
      </c>
      <c r="B72">
        <v>3000000</v>
      </c>
      <c r="C72" s="5">
        <v>-21.009640000000001</v>
      </c>
      <c r="D72" s="5">
        <v>-47.995280000000001</v>
      </c>
    </row>
    <row r="73" spans="1:4" ht="14.25" customHeight="1" x14ac:dyDescent="0.25">
      <c r="A73" t="s">
        <v>162</v>
      </c>
      <c r="B73">
        <v>1000000</v>
      </c>
      <c r="C73" s="5">
        <v>-14.865415</v>
      </c>
      <c r="D73" s="5">
        <v>-47.136856000000002</v>
      </c>
    </row>
    <row r="74" spans="1:4" ht="14.25" customHeight="1" x14ac:dyDescent="0.25">
      <c r="A74" t="s">
        <v>131</v>
      </c>
      <c r="B74">
        <v>1000000</v>
      </c>
      <c r="C74" s="5">
        <v>-5.6294300000000002</v>
      </c>
      <c r="D74" s="5">
        <v>-35.411499999999997</v>
      </c>
    </row>
    <row r="75" spans="1:4" ht="14.25" customHeight="1" x14ac:dyDescent="0.25">
      <c r="A75" t="s">
        <v>163</v>
      </c>
      <c r="B75">
        <v>1000000</v>
      </c>
      <c r="C75" s="5">
        <v>-16.347300000000001</v>
      </c>
      <c r="D75" s="5">
        <v>-49.4846</v>
      </c>
    </row>
    <row r="76" spans="1:4" ht="14.25" customHeight="1" x14ac:dyDescent="0.25">
      <c r="A76" t="s">
        <v>132</v>
      </c>
      <c r="B76">
        <v>1000000</v>
      </c>
      <c r="C76" s="5">
        <v>-9.4553089999999997</v>
      </c>
      <c r="D76" s="5">
        <v>-35.850625000000001</v>
      </c>
    </row>
    <row r="77" spans="1:4" ht="14.25" customHeight="1" x14ac:dyDescent="0.25">
      <c r="A77" t="s">
        <v>164</v>
      </c>
      <c r="B77">
        <v>2000000</v>
      </c>
      <c r="C77" s="5">
        <v>-17.928889999999999</v>
      </c>
      <c r="D77" s="5">
        <v>-49.232644000000001</v>
      </c>
    </row>
    <row r="78" spans="1:4" ht="14.25" customHeight="1" x14ac:dyDescent="0.25">
      <c r="A78" t="s">
        <v>113</v>
      </c>
      <c r="B78">
        <v>2000000</v>
      </c>
      <c r="C78" s="5">
        <v>-7.4216100000000003</v>
      </c>
      <c r="D78" s="5">
        <v>-35.253599999999999</v>
      </c>
    </row>
    <row r="79" spans="1:4" ht="14.25" customHeight="1" x14ac:dyDescent="0.25">
      <c r="A79" t="s">
        <v>165</v>
      </c>
      <c r="B79">
        <v>1000000</v>
      </c>
      <c r="C79" s="5">
        <v>-23.167999999999999</v>
      </c>
      <c r="D79" s="5">
        <v>-54.393999999999998</v>
      </c>
    </row>
    <row r="80" spans="1:4" ht="14.25" customHeight="1" x14ac:dyDescent="0.25">
      <c r="A80" t="s">
        <v>166</v>
      </c>
      <c r="B80">
        <v>2000000</v>
      </c>
      <c r="C80" s="5">
        <v>-19.923793</v>
      </c>
      <c r="D80" s="5">
        <v>-49.153345999999999</v>
      </c>
    </row>
    <row r="81" spans="1:4" ht="14.25" customHeight="1" x14ac:dyDescent="0.25">
      <c r="A81" t="s">
        <v>38</v>
      </c>
      <c r="B81">
        <v>3000000</v>
      </c>
      <c r="C81" s="5">
        <v>-20.751799999999999</v>
      </c>
      <c r="D81" s="5">
        <v>-47.4313</v>
      </c>
    </row>
    <row r="82" spans="1:4" ht="14.25" customHeight="1" x14ac:dyDescent="0.25">
      <c r="A82" t="s">
        <v>167</v>
      </c>
      <c r="B82">
        <v>2000000</v>
      </c>
      <c r="C82" s="5">
        <v>-19.066046</v>
      </c>
      <c r="D82" s="5">
        <v>-50.372821999999999</v>
      </c>
    </row>
    <row r="83" spans="1:4" ht="14.25" customHeight="1" x14ac:dyDescent="0.25">
      <c r="A83" t="s">
        <v>168</v>
      </c>
      <c r="B83">
        <v>1000000</v>
      </c>
      <c r="C83" s="5">
        <v>-21.588381999999999</v>
      </c>
      <c r="D83" s="5">
        <v>-48.44115</v>
      </c>
    </row>
    <row r="84" spans="1:4" ht="14.25" customHeight="1" x14ac:dyDescent="0.25">
      <c r="A84" t="s">
        <v>39</v>
      </c>
      <c r="B84">
        <v>5500000</v>
      </c>
      <c r="C84" s="5">
        <v>-21.805</v>
      </c>
      <c r="D84" s="5">
        <v>-50.215000000000003</v>
      </c>
    </row>
    <row r="85" spans="1:4" ht="14.25" customHeight="1" x14ac:dyDescent="0.25">
      <c r="A85" t="s">
        <v>133</v>
      </c>
      <c r="B85">
        <v>1000000</v>
      </c>
      <c r="C85" s="5">
        <v>-7.5509500000000003</v>
      </c>
      <c r="D85" s="5">
        <v>-35.273400000000002</v>
      </c>
    </row>
    <row r="86" spans="1:4" ht="14.25" customHeight="1" x14ac:dyDescent="0.25">
      <c r="A86" t="s">
        <v>169</v>
      </c>
      <c r="B86">
        <v>1000000</v>
      </c>
      <c r="C86" s="5">
        <v>-21.7865</v>
      </c>
      <c r="D86" s="5">
        <v>-41.2346</v>
      </c>
    </row>
    <row r="87" spans="1:4" ht="14.25" customHeight="1" x14ac:dyDescent="0.25">
      <c r="A87" t="s">
        <v>40</v>
      </c>
      <c r="B87">
        <v>4000000</v>
      </c>
      <c r="C87" s="5">
        <v>-22.473949999999999</v>
      </c>
      <c r="D87" s="5">
        <v>-50.788800000000002</v>
      </c>
    </row>
    <row r="88" spans="1:4" ht="14.25" customHeight="1" x14ac:dyDescent="0.25">
      <c r="A88" t="s">
        <v>4</v>
      </c>
      <c r="B88">
        <v>4000000</v>
      </c>
      <c r="C88" s="5">
        <v>-22.532332</v>
      </c>
      <c r="D88" s="5">
        <v>-51.506509999999999</v>
      </c>
    </row>
    <row r="89" spans="1:4" ht="14.25" customHeight="1" x14ac:dyDescent="0.25">
      <c r="A89" t="s">
        <v>170</v>
      </c>
      <c r="B89">
        <v>5000000</v>
      </c>
      <c r="C89" s="5">
        <v>-21.100300000000001</v>
      </c>
      <c r="D89" s="5">
        <v>-48.979900000000001</v>
      </c>
    </row>
    <row r="90" spans="1:4" ht="14.25" customHeight="1" x14ac:dyDescent="0.25">
      <c r="A90" t="s">
        <v>171</v>
      </c>
      <c r="B90">
        <v>4000000</v>
      </c>
      <c r="C90" s="5">
        <v>-20.45703</v>
      </c>
      <c r="D90" s="5">
        <v>-50.204999999999998</v>
      </c>
    </row>
    <row r="91" spans="1:4" ht="14.25" customHeight="1" x14ac:dyDescent="0.25">
      <c r="A91" t="s">
        <v>172</v>
      </c>
      <c r="B91">
        <v>4000000</v>
      </c>
      <c r="C91" s="5">
        <v>-21.105119999999999</v>
      </c>
      <c r="D91" s="5">
        <v>-49.327100000000002</v>
      </c>
    </row>
    <row r="92" spans="1:4" ht="14.25" customHeight="1" x14ac:dyDescent="0.25">
      <c r="A92" t="s">
        <v>173</v>
      </c>
      <c r="B92">
        <v>5000000</v>
      </c>
      <c r="C92" s="5">
        <v>-20.582100000000001</v>
      </c>
      <c r="D92" s="5">
        <v>-49.951900000000002</v>
      </c>
    </row>
    <row r="93" spans="1:4" ht="14.25" customHeight="1" x14ac:dyDescent="0.25">
      <c r="A93" t="s">
        <v>41</v>
      </c>
      <c r="B93">
        <v>5500000</v>
      </c>
      <c r="C93" s="5">
        <v>-21.215599999999998</v>
      </c>
      <c r="D93" s="5">
        <v>-48.839100000000002</v>
      </c>
    </row>
    <row r="94" spans="1:4" ht="14.25" customHeight="1" x14ac:dyDescent="0.25">
      <c r="A94" t="s">
        <v>174</v>
      </c>
      <c r="B94">
        <v>2000000</v>
      </c>
      <c r="C94" s="5">
        <v>-20.209686000000001</v>
      </c>
      <c r="D94" s="5">
        <v>-49.615367999999997</v>
      </c>
    </row>
    <row r="95" spans="1:4" ht="14.25" customHeight="1" x14ac:dyDescent="0.25">
      <c r="A95" t="s">
        <v>42</v>
      </c>
      <c r="B95">
        <v>5500000</v>
      </c>
      <c r="C95" s="5">
        <v>-20.283200000000001</v>
      </c>
      <c r="D95" s="5">
        <v>-48.185000000000002</v>
      </c>
    </row>
    <row r="96" spans="1:4" ht="14.25" customHeight="1" x14ac:dyDescent="0.25">
      <c r="A96" t="s">
        <v>175</v>
      </c>
      <c r="B96">
        <v>1000000</v>
      </c>
      <c r="C96" s="5">
        <v>-22.979399999999998</v>
      </c>
      <c r="D96" s="5">
        <v>-49.793199999999999</v>
      </c>
    </row>
    <row r="97" spans="1:4" ht="14.25" customHeight="1" x14ac:dyDescent="0.25">
      <c r="A97" t="s">
        <v>176</v>
      </c>
      <c r="B97">
        <v>1000000</v>
      </c>
      <c r="C97" s="5">
        <v>-23.417151</v>
      </c>
      <c r="D97" s="5">
        <v>-47.784652999999999</v>
      </c>
    </row>
    <row r="98" spans="1:4" ht="14.25" customHeight="1" x14ac:dyDescent="0.25">
      <c r="A98" t="s">
        <v>134</v>
      </c>
      <c r="B98">
        <v>1000000</v>
      </c>
      <c r="C98" s="5">
        <v>-7.5524500000000003</v>
      </c>
      <c r="D98" s="5">
        <v>-35.034599999999998</v>
      </c>
    </row>
    <row r="99" spans="1:4" ht="14.25" customHeight="1" x14ac:dyDescent="0.25">
      <c r="A99" t="s">
        <v>135</v>
      </c>
      <c r="B99">
        <v>1000000</v>
      </c>
      <c r="C99" s="5">
        <v>-4.8532799999999998</v>
      </c>
      <c r="D99" s="5">
        <v>-42.884399999999999</v>
      </c>
    </row>
    <row r="100" spans="1:4" ht="14.25" customHeight="1" x14ac:dyDescent="0.25">
      <c r="A100" t="s">
        <v>177</v>
      </c>
      <c r="B100">
        <v>1000000</v>
      </c>
      <c r="C100" s="5">
        <v>-20.019843000000002</v>
      </c>
      <c r="D100" s="5">
        <v>-47.625121999999998</v>
      </c>
    </row>
    <row r="101" spans="1:4" ht="14.25" customHeight="1" x14ac:dyDescent="0.25">
      <c r="A101" t="s">
        <v>178</v>
      </c>
      <c r="B101">
        <v>1000000</v>
      </c>
      <c r="C101" s="5">
        <v>-27.9041</v>
      </c>
      <c r="D101" s="5">
        <v>-55.161000000000001</v>
      </c>
    </row>
    <row r="102" spans="1:4" ht="14.25" customHeight="1" x14ac:dyDescent="0.25">
      <c r="A102" t="s">
        <v>179</v>
      </c>
      <c r="B102">
        <v>2000000</v>
      </c>
      <c r="C102" s="5">
        <v>-15.179399999999999</v>
      </c>
      <c r="D102" s="5">
        <v>-49.758299999999998</v>
      </c>
    </row>
    <row r="103" spans="1:4" ht="14.25" customHeight="1" x14ac:dyDescent="0.25">
      <c r="A103" t="s">
        <v>180</v>
      </c>
      <c r="B103">
        <v>1000000</v>
      </c>
      <c r="C103" s="5">
        <v>-8.4777470000000008</v>
      </c>
      <c r="D103" s="5">
        <v>-35.533186000000001</v>
      </c>
    </row>
    <row r="104" spans="1:4" ht="14.25" customHeight="1" x14ac:dyDescent="0.25">
      <c r="A104" t="s">
        <v>43</v>
      </c>
      <c r="B104">
        <v>5000000</v>
      </c>
      <c r="C104" s="5">
        <v>-20.992495000000002</v>
      </c>
      <c r="D104" s="5">
        <v>-49.894517</v>
      </c>
    </row>
    <row r="105" spans="1:4" ht="14.25" customHeight="1" x14ac:dyDescent="0.25">
      <c r="A105" t="s">
        <v>181</v>
      </c>
      <c r="B105">
        <v>2000000</v>
      </c>
      <c r="C105" s="5">
        <v>-13.7875</v>
      </c>
      <c r="D105" s="5">
        <v>-57.838799999999999</v>
      </c>
    </row>
    <row r="106" spans="1:4" ht="14.25" customHeight="1" x14ac:dyDescent="0.25">
      <c r="A106" t="s">
        <v>44</v>
      </c>
      <c r="B106">
        <v>3000000</v>
      </c>
      <c r="C106" s="5">
        <v>-10.111738000000001</v>
      </c>
      <c r="D106" s="5">
        <v>-36.276148999999997</v>
      </c>
    </row>
    <row r="107" spans="1:4" ht="14.25" customHeight="1" x14ac:dyDescent="0.25">
      <c r="A107" t="s">
        <v>45</v>
      </c>
      <c r="B107">
        <v>4000000</v>
      </c>
      <c r="C107" s="5">
        <v>-19.8125</v>
      </c>
      <c r="D107" s="5">
        <v>-48.731699999999996</v>
      </c>
    </row>
    <row r="108" spans="1:4" ht="14.25" customHeight="1" x14ac:dyDescent="0.25">
      <c r="A108" t="s">
        <v>182</v>
      </c>
      <c r="B108">
        <v>1000000</v>
      </c>
      <c r="C108" s="5">
        <v>-19.522500000000001</v>
      </c>
      <c r="D108" s="5">
        <v>-50.658000000000001</v>
      </c>
    </row>
    <row r="109" spans="1:4" ht="14.25" customHeight="1" x14ac:dyDescent="0.25">
      <c r="A109" t="s">
        <v>46</v>
      </c>
      <c r="B109">
        <v>4000000</v>
      </c>
      <c r="C109" s="5">
        <v>-19.709800000000001</v>
      </c>
      <c r="D109" s="5">
        <v>-50.340200000000003</v>
      </c>
    </row>
    <row r="110" spans="1:4" ht="14.25" customHeight="1" x14ac:dyDescent="0.25">
      <c r="A110" t="s">
        <v>183</v>
      </c>
      <c r="B110">
        <v>2000000</v>
      </c>
      <c r="C110" s="5">
        <v>-23.666595999999998</v>
      </c>
      <c r="D110" s="5">
        <v>-53.410587999999997</v>
      </c>
    </row>
    <row r="111" spans="1:4" ht="14.25" customHeight="1" x14ac:dyDescent="0.25">
      <c r="A111" t="s">
        <v>184</v>
      </c>
      <c r="B111">
        <v>1000000</v>
      </c>
      <c r="C111" s="5">
        <v>-15.3469</v>
      </c>
      <c r="D111" s="5">
        <v>-49.729500000000002</v>
      </c>
    </row>
    <row r="112" spans="1:4" ht="14.25" customHeight="1" x14ac:dyDescent="0.25">
      <c r="A112" t="s">
        <v>114</v>
      </c>
      <c r="B112">
        <v>2000000</v>
      </c>
      <c r="C112" s="5">
        <v>-8.6409199999999995</v>
      </c>
      <c r="D112" s="5">
        <v>-35.2712</v>
      </c>
    </row>
    <row r="113" spans="1:4" ht="14.25" customHeight="1" x14ac:dyDescent="0.25">
      <c r="A113" t="s">
        <v>47</v>
      </c>
      <c r="B113">
        <v>4000000</v>
      </c>
      <c r="C113" s="5">
        <v>-21.051400000000001</v>
      </c>
      <c r="D113" s="5">
        <v>-50.8446</v>
      </c>
    </row>
    <row r="114" spans="1:4" ht="14.25" customHeight="1" x14ac:dyDescent="0.25">
      <c r="A114" t="s">
        <v>48</v>
      </c>
      <c r="B114">
        <v>5000000</v>
      </c>
      <c r="C114" s="5">
        <v>-21.178699999999999</v>
      </c>
      <c r="D114" s="5">
        <v>-47.625300000000003</v>
      </c>
    </row>
    <row r="115" spans="1:4" ht="14.25" customHeight="1" x14ac:dyDescent="0.25">
      <c r="A115" t="s">
        <v>185</v>
      </c>
      <c r="B115">
        <v>2000000</v>
      </c>
      <c r="C115" s="5">
        <v>-23.160900000000002</v>
      </c>
      <c r="D115" s="5">
        <v>-50.103099999999998</v>
      </c>
    </row>
    <row r="116" spans="1:4" ht="14.25" customHeight="1" x14ac:dyDescent="0.25">
      <c r="A116" t="s">
        <v>186</v>
      </c>
      <c r="B116">
        <v>1000000</v>
      </c>
      <c r="C116" s="5">
        <v>-18.647300000000001</v>
      </c>
      <c r="D116" s="5">
        <v>-49.2408</v>
      </c>
    </row>
    <row r="117" spans="1:4" ht="14.25" customHeight="1" x14ac:dyDescent="0.25">
      <c r="A117" t="s">
        <v>187</v>
      </c>
      <c r="B117">
        <v>2000000</v>
      </c>
      <c r="C117" s="5">
        <v>-17.83595</v>
      </c>
      <c r="D117" s="5">
        <v>-40.18824</v>
      </c>
    </row>
    <row r="118" spans="1:4" ht="14.25" customHeight="1" x14ac:dyDescent="0.25">
      <c r="A118" t="s">
        <v>188</v>
      </c>
      <c r="B118">
        <v>2000000</v>
      </c>
      <c r="C118" s="5">
        <v>-22.057600000000001</v>
      </c>
      <c r="D118" s="5">
        <v>-48.711599999999997</v>
      </c>
    </row>
    <row r="119" spans="1:4" ht="14.25" customHeight="1" x14ac:dyDescent="0.25">
      <c r="A119" t="s">
        <v>49</v>
      </c>
      <c r="B119">
        <v>5000000</v>
      </c>
      <c r="C119" s="5">
        <v>-19.9727</v>
      </c>
      <c r="D119" s="5">
        <v>-47.768700000000003</v>
      </c>
    </row>
    <row r="120" spans="1:4" ht="14.25" customHeight="1" x14ac:dyDescent="0.25">
      <c r="A120" t="s">
        <v>50</v>
      </c>
      <c r="B120">
        <v>5000000</v>
      </c>
      <c r="C120" s="5">
        <v>-19.979900000000001</v>
      </c>
      <c r="D120" s="5">
        <v>-48.264499999999998</v>
      </c>
    </row>
    <row r="121" spans="1:4" ht="14.25" customHeight="1" x14ac:dyDescent="0.25">
      <c r="A121" t="s">
        <v>189</v>
      </c>
      <c r="B121">
        <v>2000000</v>
      </c>
      <c r="C121" s="5">
        <v>-17.2775</v>
      </c>
      <c r="D121" s="5">
        <v>-50.147599999999997</v>
      </c>
    </row>
    <row r="122" spans="1:4" ht="14.25" customHeight="1" x14ac:dyDescent="0.25">
      <c r="A122" t="s">
        <v>190</v>
      </c>
      <c r="B122">
        <v>1000000</v>
      </c>
      <c r="C122" s="5">
        <v>-5.5938460000000001</v>
      </c>
      <c r="D122" s="5">
        <v>-44.828648000000001</v>
      </c>
    </row>
    <row r="123" spans="1:4" ht="14.25" customHeight="1" x14ac:dyDescent="0.25">
      <c r="A123" t="s">
        <v>191</v>
      </c>
      <c r="B123">
        <v>2000000</v>
      </c>
      <c r="C123" s="5">
        <v>-21.401299999999999</v>
      </c>
      <c r="D123" s="5">
        <v>-49.893500000000003</v>
      </c>
    </row>
    <row r="124" spans="1:4" ht="14.25" customHeight="1" x14ac:dyDescent="0.25">
      <c r="A124" t="s">
        <v>192</v>
      </c>
      <c r="B124">
        <v>1000000</v>
      </c>
      <c r="C124" s="5">
        <v>-6.6119000000000003</v>
      </c>
      <c r="D124" s="5">
        <v>-35.058399999999999</v>
      </c>
    </row>
    <row r="125" spans="1:4" ht="14.25" customHeight="1" x14ac:dyDescent="0.25">
      <c r="A125" t="s">
        <v>51</v>
      </c>
      <c r="B125">
        <v>4000000</v>
      </c>
      <c r="C125" s="5">
        <v>-21.864799999999999</v>
      </c>
      <c r="D125" s="5">
        <v>-54.021999999999998</v>
      </c>
    </row>
    <row r="126" spans="1:4" ht="14.25" customHeight="1" x14ac:dyDescent="0.25">
      <c r="A126" t="s">
        <v>193</v>
      </c>
      <c r="B126">
        <v>1000000</v>
      </c>
      <c r="C126" s="5">
        <v>-18.383123000000001</v>
      </c>
      <c r="D126" s="5">
        <v>-52.106836000000001</v>
      </c>
    </row>
    <row r="127" spans="1:4" ht="14.25" customHeight="1" x14ac:dyDescent="0.25">
      <c r="A127" t="s">
        <v>194</v>
      </c>
      <c r="B127">
        <v>1000000</v>
      </c>
      <c r="C127" s="5">
        <v>-22.3005</v>
      </c>
      <c r="D127" s="5">
        <v>-48.091299999999997</v>
      </c>
    </row>
    <row r="128" spans="1:4" ht="14.25" customHeight="1" x14ac:dyDescent="0.25">
      <c r="A128" t="s">
        <v>52</v>
      </c>
      <c r="B128">
        <v>3000000</v>
      </c>
      <c r="C128" s="5">
        <v>-22.657299999999999</v>
      </c>
      <c r="D128" s="5">
        <v>-47.210900000000002</v>
      </c>
    </row>
    <row r="129" spans="1:4" ht="14.25" customHeight="1" x14ac:dyDescent="0.25">
      <c r="A129" s="5" t="s">
        <v>53</v>
      </c>
      <c r="B129">
        <v>5000000</v>
      </c>
      <c r="C129" s="5">
        <v>-22.399100000000001</v>
      </c>
      <c r="D129" s="5">
        <v>-52.100200000000001</v>
      </c>
    </row>
    <row r="130" spans="1:4" ht="14.25" customHeight="1" x14ac:dyDescent="0.25">
      <c r="A130" s="5" t="s">
        <v>54</v>
      </c>
      <c r="B130">
        <v>4000000</v>
      </c>
      <c r="C130" s="5">
        <v>-18.568027000000001</v>
      </c>
      <c r="D130" s="5">
        <v>-53.115034000000001</v>
      </c>
    </row>
    <row r="131" spans="1:4" ht="14.25" customHeight="1" x14ac:dyDescent="0.25">
      <c r="A131" s="8" t="s">
        <v>55</v>
      </c>
      <c r="B131">
        <v>5000000</v>
      </c>
      <c r="C131" s="5">
        <v>-18.793026999999999</v>
      </c>
      <c r="D131" s="5">
        <v>-51.006149000000001</v>
      </c>
    </row>
    <row r="132" spans="1:4" ht="14.25" customHeight="1" x14ac:dyDescent="0.25">
      <c r="A132" s="5" t="s">
        <v>195</v>
      </c>
      <c r="B132">
        <v>2000000</v>
      </c>
      <c r="C132" s="5">
        <v>-22.331040000000002</v>
      </c>
      <c r="D132" s="5">
        <v>-54.610168999999999</v>
      </c>
    </row>
    <row r="133" spans="1:4" ht="14.25" customHeight="1" x14ac:dyDescent="0.25">
      <c r="A133" s="8" t="s">
        <v>56</v>
      </c>
      <c r="B133">
        <v>4000000</v>
      </c>
      <c r="C133" s="5">
        <v>-21.845490000000002</v>
      </c>
      <c r="D133" s="5">
        <v>-47.363059999999997</v>
      </c>
    </row>
    <row r="134" spans="1:4" ht="14.25" customHeight="1" x14ac:dyDescent="0.25">
      <c r="A134" s="5" t="s">
        <v>196</v>
      </c>
      <c r="B134">
        <v>2000000</v>
      </c>
      <c r="C134" s="5">
        <v>-21.0761</v>
      </c>
      <c r="D134" s="5">
        <v>-50.5441</v>
      </c>
    </row>
    <row r="135" spans="1:4" ht="14.25" customHeight="1" x14ac:dyDescent="0.25">
      <c r="A135" s="5" t="s">
        <v>197</v>
      </c>
      <c r="B135">
        <v>2000000</v>
      </c>
      <c r="C135" s="5">
        <v>-20.575099999999999</v>
      </c>
      <c r="D135" s="5">
        <v>-50.384399999999999</v>
      </c>
    </row>
    <row r="136" spans="1:4" ht="14.25" customHeight="1" x14ac:dyDescent="0.25">
      <c r="A136" s="5" t="s">
        <v>198</v>
      </c>
      <c r="B136">
        <v>2000000</v>
      </c>
      <c r="C136" s="5">
        <v>-17.617626999999999</v>
      </c>
      <c r="D136" s="5">
        <v>-50.714194999999997</v>
      </c>
    </row>
    <row r="137" spans="1:4" ht="14.25" customHeight="1" x14ac:dyDescent="0.25">
      <c r="A137" s="8" t="s">
        <v>199</v>
      </c>
      <c r="B137">
        <v>2000000</v>
      </c>
      <c r="C137" s="5">
        <v>-20.084385000000001</v>
      </c>
      <c r="D137" s="5">
        <v>-48.821755000000003</v>
      </c>
    </row>
    <row r="138" spans="1:4" ht="14.25" customHeight="1" x14ac:dyDescent="0.25">
      <c r="A138" s="8" t="s">
        <v>200</v>
      </c>
      <c r="B138">
        <v>2000000</v>
      </c>
      <c r="C138" s="5">
        <v>-22.761610000000001</v>
      </c>
      <c r="D138" s="5">
        <v>-47.478360000000002</v>
      </c>
    </row>
    <row r="139" spans="1:4" ht="14.25" customHeight="1" x14ac:dyDescent="0.25">
      <c r="A139" s="5" t="s">
        <v>201</v>
      </c>
      <c r="B139">
        <v>1000000</v>
      </c>
      <c r="C139" s="5">
        <v>-15.215199999999999</v>
      </c>
      <c r="D139" s="5">
        <v>-48.969000000000001</v>
      </c>
    </row>
    <row r="140" spans="1:4" ht="14.25" customHeight="1" x14ac:dyDescent="0.25">
      <c r="A140" s="5" t="s">
        <v>57</v>
      </c>
      <c r="B140">
        <v>5000000</v>
      </c>
      <c r="C140" s="5">
        <v>-18.0715</v>
      </c>
      <c r="D140" s="5">
        <v>-49.6723</v>
      </c>
    </row>
    <row r="141" spans="1:4" ht="14.25" customHeight="1" x14ac:dyDescent="0.25">
      <c r="A141" s="5" t="s">
        <v>202</v>
      </c>
      <c r="B141">
        <v>1000000</v>
      </c>
      <c r="C141" s="5">
        <v>-22.23978</v>
      </c>
      <c r="D141" s="5">
        <v>-48.474679999999999</v>
      </c>
    </row>
    <row r="142" spans="1:4" ht="14.25" customHeight="1" x14ac:dyDescent="0.25">
      <c r="A142" s="5" t="s">
        <v>58</v>
      </c>
      <c r="B142">
        <v>4000000</v>
      </c>
      <c r="C142" s="5">
        <v>-20.418399999999998</v>
      </c>
      <c r="D142" s="5">
        <v>-48.211399999999998</v>
      </c>
    </row>
    <row r="143" spans="1:4" ht="14.25" customHeight="1" x14ac:dyDescent="0.25">
      <c r="A143" s="5" t="s">
        <v>59</v>
      </c>
      <c r="B143">
        <v>5500000</v>
      </c>
      <c r="C143" s="5">
        <v>-20.688379999999999</v>
      </c>
      <c r="D143" s="5">
        <v>-49.111249999999998</v>
      </c>
    </row>
    <row r="144" spans="1:4" ht="14.25" customHeight="1" x14ac:dyDescent="0.25">
      <c r="A144" s="5" t="s">
        <v>60</v>
      </c>
      <c r="B144">
        <v>4000000</v>
      </c>
      <c r="C144" s="5">
        <v>-20.483000000000001</v>
      </c>
      <c r="D144" s="5">
        <v>-48.411000000000001</v>
      </c>
    </row>
    <row r="145" spans="1:4" ht="14.25" customHeight="1" x14ac:dyDescent="0.25">
      <c r="A145" s="5" t="s">
        <v>61</v>
      </c>
      <c r="B145">
        <v>3000000</v>
      </c>
      <c r="C145" s="5">
        <v>-20.821100000000001</v>
      </c>
      <c r="D145" s="5">
        <v>-48.822699999999998</v>
      </c>
    </row>
    <row r="146" spans="1:4" ht="14.25" customHeight="1" x14ac:dyDescent="0.25">
      <c r="A146" s="5" t="s">
        <v>203</v>
      </c>
      <c r="B146">
        <v>2000000</v>
      </c>
      <c r="C146" s="5">
        <v>-20.487100000000002</v>
      </c>
      <c r="D146" s="5">
        <v>-49.540599999999998</v>
      </c>
    </row>
    <row r="147" spans="1:4" ht="14.25" customHeight="1" x14ac:dyDescent="0.25">
      <c r="A147" s="5" t="s">
        <v>204</v>
      </c>
      <c r="B147">
        <v>2000000</v>
      </c>
      <c r="C147" s="5">
        <v>-20.1144</v>
      </c>
      <c r="D147" s="5">
        <v>-49.759439999999998</v>
      </c>
    </row>
    <row r="148" spans="1:4" ht="14.25" customHeight="1" x14ac:dyDescent="0.25">
      <c r="A148" s="5" t="s">
        <v>62</v>
      </c>
      <c r="B148">
        <v>4000000</v>
      </c>
      <c r="C148" s="5">
        <v>-21.798113000000001</v>
      </c>
      <c r="D148" s="5">
        <v>-49.011766000000001</v>
      </c>
    </row>
    <row r="149" spans="1:4" ht="14.25" customHeight="1" x14ac:dyDescent="0.25">
      <c r="A149" s="5" t="s">
        <v>63</v>
      </c>
      <c r="B149">
        <v>3000000</v>
      </c>
      <c r="C149" s="5">
        <v>-18.769309</v>
      </c>
      <c r="D149" s="5">
        <v>-52.919865000000001</v>
      </c>
    </row>
    <row r="150" spans="1:4" ht="14.25" customHeight="1" x14ac:dyDescent="0.25">
      <c r="A150" s="5" t="s">
        <v>205</v>
      </c>
      <c r="B150">
        <v>2000000</v>
      </c>
      <c r="C150" s="5">
        <v>-23.682300000000001</v>
      </c>
      <c r="D150" s="5">
        <v>-50.414000000000001</v>
      </c>
    </row>
    <row r="151" spans="1:4" ht="14.25" customHeight="1" x14ac:dyDescent="0.25">
      <c r="A151" s="5" t="s">
        <v>206</v>
      </c>
      <c r="B151">
        <v>2000000</v>
      </c>
      <c r="C151" s="5">
        <v>-22.165600000000001</v>
      </c>
      <c r="D151" s="5">
        <v>-50.483899999999998</v>
      </c>
    </row>
    <row r="152" spans="1:4" ht="14.25" customHeight="1" x14ac:dyDescent="0.25">
      <c r="A152" s="5" t="s">
        <v>207</v>
      </c>
      <c r="B152">
        <v>1000000</v>
      </c>
      <c r="C152" s="5">
        <v>-21.438649999999999</v>
      </c>
      <c r="D152" s="5">
        <v>-47.346589999999999</v>
      </c>
    </row>
    <row r="153" spans="1:4" ht="14.25" customHeight="1" x14ac:dyDescent="0.25">
      <c r="A153" s="8" t="s">
        <v>208</v>
      </c>
      <c r="B153">
        <v>1000000</v>
      </c>
      <c r="C153" s="5">
        <v>-25.5563</v>
      </c>
      <c r="D153" s="5">
        <v>-49.372599999999998</v>
      </c>
    </row>
    <row r="154" spans="1:4" ht="14.25" customHeight="1" x14ac:dyDescent="0.25">
      <c r="A154" s="5" t="s">
        <v>64</v>
      </c>
      <c r="B154">
        <v>3000000</v>
      </c>
      <c r="C154" s="5">
        <v>-20.529900000000001</v>
      </c>
      <c r="D154" s="5">
        <v>-51.247</v>
      </c>
    </row>
    <row r="155" spans="1:4" ht="14.25" customHeight="1" x14ac:dyDescent="0.25">
      <c r="A155" s="5" t="s">
        <v>209</v>
      </c>
      <c r="B155">
        <v>2000000</v>
      </c>
      <c r="C155" s="5">
        <v>-21.165800000000001</v>
      </c>
      <c r="D155" s="5">
        <v>-51.469700000000003</v>
      </c>
    </row>
    <row r="156" spans="1:4" ht="14.25" customHeight="1" x14ac:dyDescent="0.25">
      <c r="A156" s="5" t="s">
        <v>210</v>
      </c>
      <c r="B156">
        <v>2000000</v>
      </c>
      <c r="C156" s="5">
        <v>-21.831800000000001</v>
      </c>
      <c r="D156" s="5">
        <v>-47.750500000000002</v>
      </c>
    </row>
    <row r="157" spans="1:4" ht="14.25" customHeight="1" x14ac:dyDescent="0.25">
      <c r="A157" s="5" t="s">
        <v>211</v>
      </c>
      <c r="B157">
        <v>2000000</v>
      </c>
      <c r="C157" s="5">
        <v>-21.344069999999999</v>
      </c>
      <c r="D157" s="5">
        <v>-47.155520000000003</v>
      </c>
    </row>
    <row r="158" spans="1:4" ht="14.25" customHeight="1" x14ac:dyDescent="0.25">
      <c r="A158" s="5" t="s">
        <v>212</v>
      </c>
      <c r="B158">
        <v>1000000</v>
      </c>
      <c r="C158" s="5">
        <v>-8.3931699999999996</v>
      </c>
      <c r="D158" s="5">
        <v>-35.0916</v>
      </c>
    </row>
    <row r="159" spans="1:4" ht="14.25" customHeight="1" x14ac:dyDescent="0.25">
      <c r="A159" s="5" t="s">
        <v>65</v>
      </c>
      <c r="B159">
        <v>3000000</v>
      </c>
      <c r="C159" s="5">
        <v>-22.586359999999999</v>
      </c>
      <c r="D159" s="5">
        <v>-47.531080000000003</v>
      </c>
    </row>
    <row r="160" spans="1:4" ht="14.25" customHeight="1" x14ac:dyDescent="0.25">
      <c r="A160" s="8" t="s">
        <v>213</v>
      </c>
      <c r="B160">
        <v>1000000</v>
      </c>
      <c r="C160" s="5">
        <v>-21.62772</v>
      </c>
      <c r="D160" s="5">
        <v>-48.830480000000001</v>
      </c>
    </row>
    <row r="161" spans="1:4" ht="14.25" customHeight="1" x14ac:dyDescent="0.25">
      <c r="A161" s="5" t="s">
        <v>214</v>
      </c>
      <c r="B161">
        <v>2000000</v>
      </c>
      <c r="C161" s="5">
        <v>-21.194199999999999</v>
      </c>
      <c r="D161" s="5">
        <v>-49.1387</v>
      </c>
    </row>
    <row r="162" spans="1:4" ht="14.25" customHeight="1" x14ac:dyDescent="0.25">
      <c r="A162" s="5" t="s">
        <v>215</v>
      </c>
      <c r="B162">
        <v>1000000</v>
      </c>
      <c r="C162" s="5">
        <v>-4.2872250000000003</v>
      </c>
      <c r="D162" s="5">
        <v>-42.988540999999998</v>
      </c>
    </row>
    <row r="163" spans="1:4" ht="14.25" customHeight="1" x14ac:dyDescent="0.25">
      <c r="A163" s="5" t="s">
        <v>66</v>
      </c>
      <c r="B163">
        <v>5500000</v>
      </c>
      <c r="C163" s="5">
        <v>-14.7582</v>
      </c>
      <c r="D163" s="5">
        <v>-57.195099999999996</v>
      </c>
    </row>
    <row r="164" spans="1:4" ht="14.25" customHeight="1" x14ac:dyDescent="0.25">
      <c r="A164" s="5" t="s">
        <v>67</v>
      </c>
      <c r="B164">
        <v>3000000</v>
      </c>
      <c r="C164" s="5">
        <v>-19.889800000000001</v>
      </c>
      <c r="D164" s="5">
        <v>-49.691200000000002</v>
      </c>
    </row>
    <row r="165" spans="1:4" ht="14.25" customHeight="1" x14ac:dyDescent="0.25">
      <c r="A165" s="5" t="s">
        <v>216</v>
      </c>
      <c r="B165">
        <v>2000000</v>
      </c>
      <c r="C165" s="5">
        <v>-19.014879000000001</v>
      </c>
      <c r="D165" s="5">
        <v>-49.675680999999997</v>
      </c>
    </row>
    <row r="166" spans="1:4" ht="14.25" customHeight="1" x14ac:dyDescent="0.25">
      <c r="A166" s="5" t="s">
        <v>68</v>
      </c>
      <c r="B166">
        <v>3000000</v>
      </c>
      <c r="C166" s="5">
        <v>-18.517327000000002</v>
      </c>
      <c r="D166" s="5">
        <v>-49.361207</v>
      </c>
    </row>
    <row r="167" spans="1:4" ht="14.25" customHeight="1" x14ac:dyDescent="0.25">
      <c r="A167" s="5" t="s">
        <v>69</v>
      </c>
      <c r="B167">
        <v>3000000</v>
      </c>
      <c r="C167" s="5">
        <v>-23.093499999999999</v>
      </c>
      <c r="D167" s="5">
        <v>-49.941600000000001</v>
      </c>
    </row>
    <row r="168" spans="1:4" ht="14.25" customHeight="1" x14ac:dyDescent="0.25">
      <c r="A168" s="5" t="s">
        <v>70</v>
      </c>
      <c r="B168">
        <v>3000000</v>
      </c>
      <c r="C168" s="5">
        <v>-15.212199999999999</v>
      </c>
      <c r="D168" s="5">
        <v>-49.985399999999998</v>
      </c>
    </row>
    <row r="169" spans="1:4" ht="14.25" customHeight="1" x14ac:dyDescent="0.25">
      <c r="A169" s="8" t="s">
        <v>217</v>
      </c>
      <c r="B169">
        <v>2000000</v>
      </c>
      <c r="C169" s="5">
        <v>-15.083491</v>
      </c>
      <c r="D169" s="5">
        <v>-49.305275000000002</v>
      </c>
    </row>
    <row r="170" spans="1:4" ht="14.25" customHeight="1" x14ac:dyDescent="0.25">
      <c r="A170" s="5" t="s">
        <v>218</v>
      </c>
      <c r="B170">
        <v>1000000</v>
      </c>
      <c r="C170" s="5">
        <v>-20.301295</v>
      </c>
      <c r="D170" s="5">
        <v>-42.690556000000001</v>
      </c>
    </row>
    <row r="171" spans="1:4" ht="14.25" customHeight="1" x14ac:dyDescent="0.25">
      <c r="A171" s="8" t="s">
        <v>219</v>
      </c>
      <c r="B171">
        <v>1000000</v>
      </c>
      <c r="C171" s="5">
        <v>-1.9877629999999999</v>
      </c>
      <c r="D171" s="5">
        <v>-60.141449999999999</v>
      </c>
    </row>
    <row r="172" spans="1:4" ht="14.25" customHeight="1" x14ac:dyDescent="0.25">
      <c r="A172" s="8" t="s">
        <v>220</v>
      </c>
      <c r="B172">
        <v>1000000</v>
      </c>
      <c r="C172" s="5">
        <v>-22.5185</v>
      </c>
      <c r="D172" s="5">
        <v>-47.713900000000002</v>
      </c>
    </row>
    <row r="173" spans="1:4" ht="14.25" customHeight="1" x14ac:dyDescent="0.25">
      <c r="A173" s="5" t="s">
        <v>221</v>
      </c>
      <c r="B173">
        <v>1000000</v>
      </c>
      <c r="C173" s="5">
        <v>-10.5626</v>
      </c>
      <c r="D173" s="5">
        <v>-37.038699999999999</v>
      </c>
    </row>
    <row r="174" spans="1:4" ht="14.25" customHeight="1" x14ac:dyDescent="0.25">
      <c r="A174" s="5" t="s">
        <v>222</v>
      </c>
      <c r="B174">
        <v>1000000</v>
      </c>
      <c r="C174" s="5">
        <v>-17.2546</v>
      </c>
      <c r="D174" s="5">
        <v>-47.689700000000002</v>
      </c>
    </row>
    <row r="175" spans="1:4" ht="14.25" customHeight="1" x14ac:dyDescent="0.25">
      <c r="A175" s="8" t="s">
        <v>223</v>
      </c>
      <c r="B175">
        <v>1000000</v>
      </c>
      <c r="C175" s="5">
        <v>-22.462157000000001</v>
      </c>
      <c r="D175" s="5">
        <v>-53.299047999999999</v>
      </c>
    </row>
    <row r="176" spans="1:4" ht="14.25" customHeight="1" x14ac:dyDescent="0.25">
      <c r="A176" s="5" t="s">
        <v>224</v>
      </c>
      <c r="B176">
        <v>1000000</v>
      </c>
      <c r="C176" s="5">
        <v>-19.348400000000002</v>
      </c>
      <c r="D176" s="5">
        <v>-40.035800000000002</v>
      </c>
    </row>
    <row r="177" spans="1:4" ht="14.25" customHeight="1" x14ac:dyDescent="0.25">
      <c r="A177" s="8" t="s">
        <v>225</v>
      </c>
      <c r="B177">
        <v>1000000</v>
      </c>
      <c r="C177" s="5">
        <v>-8.3430040000000005</v>
      </c>
      <c r="D177" s="5">
        <v>-35.282111999999998</v>
      </c>
    </row>
    <row r="178" spans="1:4" ht="14.25" customHeight="1" x14ac:dyDescent="0.25">
      <c r="A178" s="5" t="s">
        <v>226</v>
      </c>
      <c r="B178">
        <v>1000000</v>
      </c>
      <c r="C178" s="5">
        <v>-23.5289</v>
      </c>
      <c r="D178" s="5">
        <v>-48.937800000000003</v>
      </c>
    </row>
    <row r="179" spans="1:4" ht="14.25" customHeight="1" x14ac:dyDescent="0.25">
      <c r="A179" s="5" t="s">
        <v>227</v>
      </c>
      <c r="B179">
        <v>1000000</v>
      </c>
      <c r="C179" s="5">
        <v>-21.200780000000002</v>
      </c>
      <c r="D179" s="5">
        <v>-48.041330000000002</v>
      </c>
    </row>
    <row r="180" spans="1:4" ht="14.25" customHeight="1" x14ac:dyDescent="0.25">
      <c r="A180" s="5" t="s">
        <v>228</v>
      </c>
      <c r="B180">
        <v>1000000</v>
      </c>
      <c r="C180" s="5">
        <v>-24.196375</v>
      </c>
      <c r="D180" s="5">
        <v>-50.274915999999997</v>
      </c>
    </row>
    <row r="181" spans="1:4" ht="14.25" customHeight="1" x14ac:dyDescent="0.25">
      <c r="A181" s="5" t="s">
        <v>229</v>
      </c>
      <c r="B181">
        <v>1000000</v>
      </c>
      <c r="C181" s="5">
        <v>-6.1167199999999999</v>
      </c>
      <c r="D181" s="5">
        <v>-47.285400000000003</v>
      </c>
    </row>
    <row r="182" spans="1:4" ht="14.25" customHeight="1" x14ac:dyDescent="0.25">
      <c r="A182" s="5" t="s">
        <v>115</v>
      </c>
      <c r="B182">
        <v>2000000</v>
      </c>
      <c r="C182" s="5">
        <v>-9.5003799999999998</v>
      </c>
      <c r="D182" s="5">
        <v>-40.369599999999998</v>
      </c>
    </row>
    <row r="183" spans="1:4" ht="14.25" customHeight="1" x14ac:dyDescent="0.25">
      <c r="A183" s="5" t="s">
        <v>230</v>
      </c>
      <c r="B183">
        <v>1000000</v>
      </c>
      <c r="C183" s="5">
        <v>-10.151</v>
      </c>
      <c r="D183" s="5">
        <v>-36.541899999999998</v>
      </c>
    </row>
    <row r="184" spans="1:4" ht="14.25" customHeight="1" x14ac:dyDescent="0.25">
      <c r="A184" s="5" t="s">
        <v>231</v>
      </c>
      <c r="B184">
        <v>2000000</v>
      </c>
      <c r="C184" s="5">
        <v>-23.565200000000001</v>
      </c>
      <c r="D184" s="5">
        <v>-52.427700000000002</v>
      </c>
    </row>
    <row r="185" spans="1:4" ht="14.25" customHeight="1" x14ac:dyDescent="0.25">
      <c r="A185" s="5" t="s">
        <v>232</v>
      </c>
      <c r="B185">
        <v>1000000</v>
      </c>
      <c r="C185" s="5">
        <v>-6.9447000000000001</v>
      </c>
      <c r="D185" s="5">
        <v>-35.129899999999999</v>
      </c>
    </row>
    <row r="186" spans="1:4" ht="14.25" customHeight="1" x14ac:dyDescent="0.25">
      <c r="A186" s="5" t="s">
        <v>2</v>
      </c>
      <c r="B186">
        <v>5000000</v>
      </c>
      <c r="C186" s="5">
        <v>-20.235199999999999</v>
      </c>
      <c r="D186" s="5">
        <v>-49.3598</v>
      </c>
    </row>
    <row r="187" spans="1:4" ht="14.25" customHeight="1" x14ac:dyDescent="0.25">
      <c r="A187" s="5" t="s">
        <v>233</v>
      </c>
      <c r="B187">
        <v>1000000</v>
      </c>
      <c r="C187" s="5">
        <v>-21.383199999999999</v>
      </c>
      <c r="D187" s="5">
        <v>-46.246499999999997</v>
      </c>
    </row>
    <row r="188" spans="1:4" ht="14.25" customHeight="1" x14ac:dyDescent="0.25">
      <c r="A188" s="8" t="s">
        <v>234</v>
      </c>
      <c r="B188">
        <v>1000000</v>
      </c>
      <c r="C188" s="5">
        <v>-6.8595499999999996</v>
      </c>
      <c r="D188" s="5">
        <v>-35.128100000000003</v>
      </c>
    </row>
    <row r="189" spans="1:4" ht="14.25" customHeight="1" x14ac:dyDescent="0.25">
      <c r="A189" s="5" t="s">
        <v>235</v>
      </c>
      <c r="B189">
        <v>1000000</v>
      </c>
      <c r="C189" s="5">
        <v>-21.211707000000001</v>
      </c>
      <c r="D189" s="5">
        <v>-49.741874000000003</v>
      </c>
    </row>
    <row r="190" spans="1:4" ht="14.25" customHeight="1" x14ac:dyDescent="0.25">
      <c r="A190" s="5" t="s">
        <v>236</v>
      </c>
      <c r="B190">
        <v>1000000</v>
      </c>
      <c r="C190" s="5">
        <v>-22.292200000000001</v>
      </c>
      <c r="D190" s="5">
        <v>-55.100200000000001</v>
      </c>
    </row>
    <row r="191" spans="1:4" ht="14.25" customHeight="1" x14ac:dyDescent="0.25">
      <c r="A191" s="5" t="s">
        <v>71</v>
      </c>
      <c r="B191">
        <v>3000000</v>
      </c>
      <c r="C191" s="5">
        <v>-21.4819</v>
      </c>
      <c r="D191" s="5">
        <v>-47.770200000000003</v>
      </c>
    </row>
    <row r="192" spans="1:4" ht="14.25" customHeight="1" x14ac:dyDescent="0.25">
      <c r="A192" s="5" t="s">
        <v>72</v>
      </c>
      <c r="B192">
        <v>4000000</v>
      </c>
      <c r="C192" s="5">
        <v>-21.185459999999999</v>
      </c>
      <c r="D192" s="5">
        <v>-48.654170000000001</v>
      </c>
    </row>
    <row r="193" spans="1:4" ht="14.25" customHeight="1" x14ac:dyDescent="0.25">
      <c r="A193" s="5" t="s">
        <v>237</v>
      </c>
      <c r="B193">
        <v>1000000</v>
      </c>
      <c r="C193" s="5">
        <v>-21.965499999999999</v>
      </c>
      <c r="D193" s="5">
        <v>-48.087800000000001</v>
      </c>
    </row>
    <row r="194" spans="1:4" ht="14.25" customHeight="1" x14ac:dyDescent="0.25">
      <c r="A194" s="8" t="s">
        <v>238</v>
      </c>
      <c r="B194">
        <v>2000000</v>
      </c>
      <c r="C194" s="5">
        <v>-17.331188999999998</v>
      </c>
      <c r="D194" s="5">
        <v>-50.494298000000001</v>
      </c>
    </row>
    <row r="195" spans="1:4" ht="14.25" customHeight="1" x14ac:dyDescent="0.25">
      <c r="A195" s="5" t="s">
        <v>239</v>
      </c>
      <c r="B195">
        <v>1000000</v>
      </c>
      <c r="C195" s="5">
        <v>-22.798290000000001</v>
      </c>
      <c r="D195" s="5">
        <v>-52.990789999999997</v>
      </c>
    </row>
    <row r="196" spans="1:4" ht="14.25" customHeight="1" x14ac:dyDescent="0.25">
      <c r="A196" s="5" t="s">
        <v>73</v>
      </c>
      <c r="B196">
        <v>3000000</v>
      </c>
      <c r="C196" s="5">
        <v>-20.749300000000002</v>
      </c>
      <c r="D196" s="5">
        <v>-49.7179</v>
      </c>
    </row>
    <row r="197" spans="1:4" ht="14.25" customHeight="1" x14ac:dyDescent="0.25">
      <c r="A197" s="5" t="s">
        <v>240</v>
      </c>
      <c r="B197">
        <v>2000000</v>
      </c>
      <c r="C197" s="5">
        <v>-23.0944</v>
      </c>
      <c r="D197" s="5">
        <v>-51.642299999999999</v>
      </c>
    </row>
    <row r="198" spans="1:4" ht="14.25" customHeight="1" x14ac:dyDescent="0.25">
      <c r="A198" s="5" t="s">
        <v>241</v>
      </c>
      <c r="B198">
        <v>1000000</v>
      </c>
      <c r="C198" s="5">
        <v>-15.397244000000001</v>
      </c>
      <c r="D198" s="5">
        <v>-57.949205999999997</v>
      </c>
    </row>
    <row r="199" spans="1:4" ht="14.25" customHeight="1" x14ac:dyDescent="0.25">
      <c r="A199" s="5" t="s">
        <v>242</v>
      </c>
      <c r="B199">
        <v>1000000</v>
      </c>
      <c r="C199" s="5">
        <v>-15.7044</v>
      </c>
      <c r="D199" s="5">
        <v>-58.125300000000003</v>
      </c>
    </row>
    <row r="200" spans="1:4" ht="14.25" customHeight="1" x14ac:dyDescent="0.25">
      <c r="A200" s="5" t="s">
        <v>243</v>
      </c>
      <c r="B200">
        <v>2000000</v>
      </c>
      <c r="C200" s="5">
        <v>-19.952000000000002</v>
      </c>
      <c r="D200" s="5">
        <v>-50.435200000000002</v>
      </c>
    </row>
    <row r="201" spans="1:4" ht="14.25" customHeight="1" x14ac:dyDescent="0.25">
      <c r="A201" s="5" t="s">
        <v>244</v>
      </c>
      <c r="B201">
        <v>1000000</v>
      </c>
      <c r="C201" s="5">
        <v>-3.7175099999999999</v>
      </c>
      <c r="D201" s="5">
        <v>-47.4876</v>
      </c>
    </row>
    <row r="202" spans="1:4" ht="14.25" customHeight="1" x14ac:dyDescent="0.25">
      <c r="A202" s="5" t="s">
        <v>245</v>
      </c>
      <c r="B202">
        <v>1000000</v>
      </c>
      <c r="C202" s="5">
        <v>-20.953700000000001</v>
      </c>
      <c r="D202" s="5">
        <v>-40.949399999999997</v>
      </c>
    </row>
    <row r="203" spans="1:4" ht="14.25" customHeight="1" x14ac:dyDescent="0.25">
      <c r="A203" s="5" t="s">
        <v>74</v>
      </c>
      <c r="B203">
        <v>3000000</v>
      </c>
      <c r="C203" s="5">
        <v>-18.338777</v>
      </c>
      <c r="D203" s="5">
        <v>-49.865665999999997</v>
      </c>
    </row>
    <row r="204" spans="1:4" ht="14.25" customHeight="1" x14ac:dyDescent="0.25">
      <c r="A204" s="8" t="s">
        <v>246</v>
      </c>
      <c r="B204">
        <v>1000000</v>
      </c>
      <c r="C204" s="5">
        <v>-21.8231</v>
      </c>
      <c r="D204" s="5">
        <v>-41.275500000000001</v>
      </c>
    </row>
    <row r="205" spans="1:4" ht="14.25" customHeight="1" x14ac:dyDescent="0.25">
      <c r="A205" s="5" t="s">
        <v>247</v>
      </c>
      <c r="B205">
        <v>1000000</v>
      </c>
      <c r="C205" s="5">
        <v>-22.973600000000001</v>
      </c>
      <c r="D205" s="5">
        <v>-47.794609999999999</v>
      </c>
    </row>
    <row r="206" spans="1:4" ht="14.25" customHeight="1" x14ac:dyDescent="0.25">
      <c r="A206" s="5" t="s">
        <v>76</v>
      </c>
      <c r="B206">
        <v>3000000</v>
      </c>
      <c r="C206" s="5">
        <v>-9.1962980000000005</v>
      </c>
      <c r="D206" s="5">
        <v>-48.140067000000002</v>
      </c>
    </row>
    <row r="207" spans="1:4" ht="14.25" customHeight="1" x14ac:dyDescent="0.25">
      <c r="A207" s="5" t="s">
        <v>248</v>
      </c>
      <c r="B207">
        <v>1000000</v>
      </c>
      <c r="C207" s="5">
        <v>-10.292256</v>
      </c>
      <c r="D207" s="5">
        <v>-36.499478000000003</v>
      </c>
    </row>
    <row r="208" spans="1:4" ht="14.25" customHeight="1" x14ac:dyDescent="0.25">
      <c r="A208" s="5" t="s">
        <v>77</v>
      </c>
      <c r="B208">
        <v>4000000</v>
      </c>
      <c r="C208" s="5">
        <v>-17.537500000000001</v>
      </c>
      <c r="D208" s="5">
        <v>-52.261299999999999</v>
      </c>
    </row>
    <row r="209" spans="1:4" ht="14.25" customHeight="1" x14ac:dyDescent="0.25">
      <c r="A209" s="5" t="s">
        <v>116</v>
      </c>
      <c r="B209">
        <v>2000000</v>
      </c>
      <c r="C209" s="5">
        <v>-7.8890500000000001</v>
      </c>
      <c r="D209" s="5">
        <v>-35.247</v>
      </c>
    </row>
    <row r="210" spans="1:4" ht="14.25" customHeight="1" x14ac:dyDescent="0.25">
      <c r="A210" s="5" t="s">
        <v>249</v>
      </c>
      <c r="B210">
        <v>1000000</v>
      </c>
      <c r="C210" s="5">
        <v>-10.161549000000001</v>
      </c>
      <c r="D210" s="5">
        <v>-36.348306999999998</v>
      </c>
    </row>
    <row r="211" spans="1:4" ht="14.25" customHeight="1" x14ac:dyDescent="0.25">
      <c r="A211" s="5" t="s">
        <v>250</v>
      </c>
      <c r="B211">
        <v>1000000</v>
      </c>
      <c r="C211" s="5">
        <v>-10.768700000000001</v>
      </c>
      <c r="D211" s="5">
        <v>-37.213999999999999</v>
      </c>
    </row>
    <row r="212" spans="1:4" ht="14.25" customHeight="1" x14ac:dyDescent="0.25">
      <c r="A212" s="5" t="s">
        <v>251</v>
      </c>
      <c r="B212">
        <v>2000000</v>
      </c>
      <c r="C212" s="5">
        <v>-20.729500000000002</v>
      </c>
      <c r="D212" s="5">
        <v>-50.962110000000003</v>
      </c>
    </row>
    <row r="213" spans="1:4" ht="14.25" customHeight="1" x14ac:dyDescent="0.25">
      <c r="A213" s="5" t="s">
        <v>78</v>
      </c>
      <c r="B213">
        <v>3000000</v>
      </c>
      <c r="C213" s="5">
        <v>-21.052230000000002</v>
      </c>
      <c r="D213" s="5">
        <v>-48.262619999999998</v>
      </c>
    </row>
    <row r="214" spans="1:4" ht="14.25" customHeight="1" x14ac:dyDescent="0.25">
      <c r="A214" s="5" t="s">
        <v>252</v>
      </c>
      <c r="B214">
        <v>1000000</v>
      </c>
      <c r="C214" s="5">
        <v>-8.9654199999999999</v>
      </c>
      <c r="D214" s="5">
        <v>-35.721800000000002</v>
      </c>
    </row>
    <row r="215" spans="1:4" ht="14.25" customHeight="1" x14ac:dyDescent="0.25">
      <c r="A215" s="5" t="s">
        <v>79</v>
      </c>
      <c r="B215">
        <v>5500000</v>
      </c>
      <c r="C215" s="5">
        <v>-18.469052000000001</v>
      </c>
      <c r="D215" s="5">
        <v>-52.601844</v>
      </c>
    </row>
    <row r="216" spans="1:4" ht="14.25" customHeight="1" x14ac:dyDescent="0.25">
      <c r="A216" s="8" t="s">
        <v>117</v>
      </c>
      <c r="B216">
        <v>2000000</v>
      </c>
      <c r="C216" s="5">
        <v>-9.8164099999999994</v>
      </c>
      <c r="D216" s="5">
        <v>-36.2149</v>
      </c>
    </row>
    <row r="217" spans="1:4" ht="14.25" customHeight="1" x14ac:dyDescent="0.25">
      <c r="A217" s="5" t="s">
        <v>253</v>
      </c>
      <c r="B217">
        <v>1000000</v>
      </c>
      <c r="C217" s="5">
        <v>-22.663650000000001</v>
      </c>
      <c r="D217" s="5">
        <v>-50.216679999999997</v>
      </c>
    </row>
    <row r="218" spans="1:4" ht="14.25" customHeight="1" x14ac:dyDescent="0.25">
      <c r="A218" s="5" t="s">
        <v>80</v>
      </c>
      <c r="B218">
        <v>3000000</v>
      </c>
      <c r="C218" s="5">
        <v>-22.262080000000001</v>
      </c>
      <c r="D218" s="5">
        <v>-50.648040000000002</v>
      </c>
    </row>
    <row r="219" spans="1:4" ht="14.25" customHeight="1" x14ac:dyDescent="0.25">
      <c r="A219" s="5" t="s">
        <v>81</v>
      </c>
      <c r="B219">
        <v>5500000</v>
      </c>
      <c r="C219" s="5">
        <v>-22.477699999999999</v>
      </c>
      <c r="D219" s="5">
        <v>-48.534700000000001</v>
      </c>
    </row>
    <row r="220" spans="1:4" ht="14.25" customHeight="1" x14ac:dyDescent="0.25">
      <c r="A220" s="5" t="s">
        <v>254</v>
      </c>
      <c r="B220">
        <v>1000000</v>
      </c>
      <c r="C220" s="5">
        <v>-21.2316</v>
      </c>
      <c r="D220" s="5">
        <v>-50.774999999999999</v>
      </c>
    </row>
    <row r="221" spans="1:4" ht="14.25" customHeight="1" x14ac:dyDescent="0.25">
      <c r="A221" s="5" t="s">
        <v>255</v>
      </c>
      <c r="B221">
        <v>2000000</v>
      </c>
      <c r="C221" s="5">
        <v>-22.8733</v>
      </c>
      <c r="D221" s="5">
        <v>-47.453499999999998</v>
      </c>
    </row>
    <row r="222" spans="1:4" ht="14.25" customHeight="1" x14ac:dyDescent="0.25">
      <c r="A222" s="5" t="s">
        <v>82</v>
      </c>
      <c r="B222">
        <v>5000000</v>
      </c>
      <c r="C222" s="5">
        <v>-21.4178</v>
      </c>
      <c r="D222" s="5">
        <v>-48.2881</v>
      </c>
    </row>
    <row r="223" spans="1:4" ht="14.25" customHeight="1" x14ac:dyDescent="0.25">
      <c r="A223" s="5" t="s">
        <v>83</v>
      </c>
      <c r="B223">
        <v>5000000</v>
      </c>
      <c r="C223" s="5">
        <v>-22.613699</v>
      </c>
      <c r="D223" s="5">
        <v>-54.693435999999998</v>
      </c>
    </row>
    <row r="224" spans="1:4" ht="14.25" customHeight="1" x14ac:dyDescent="0.25">
      <c r="A224" s="5" t="s">
        <v>3</v>
      </c>
      <c r="B224">
        <v>5000000</v>
      </c>
      <c r="C224" s="5">
        <v>-22.639700000000001</v>
      </c>
      <c r="D224" s="5">
        <v>-47.68439</v>
      </c>
    </row>
    <row r="225" spans="1:4" ht="14.25" customHeight="1" x14ac:dyDescent="0.25">
      <c r="A225" s="5" t="s">
        <v>256</v>
      </c>
      <c r="B225">
        <v>2000000</v>
      </c>
      <c r="C225" s="5">
        <v>-21.0578</v>
      </c>
      <c r="D225" s="5">
        <v>-50.465600000000002</v>
      </c>
    </row>
    <row r="226" spans="1:4" ht="14.25" customHeight="1" x14ac:dyDescent="0.25">
      <c r="A226" s="5" t="s">
        <v>257</v>
      </c>
      <c r="B226">
        <v>2000000</v>
      </c>
      <c r="C226" s="5">
        <v>-22.369679999999999</v>
      </c>
      <c r="D226" s="5">
        <v>-48.692909999999998</v>
      </c>
    </row>
    <row r="227" spans="1:4" ht="14.25" customHeight="1" x14ac:dyDescent="0.25">
      <c r="A227" s="5" t="s">
        <v>84</v>
      </c>
      <c r="B227">
        <v>4000000</v>
      </c>
      <c r="C227" s="5">
        <v>-20.7699</v>
      </c>
      <c r="D227" s="5">
        <v>-51.258699999999997</v>
      </c>
    </row>
    <row r="228" spans="1:4" ht="14.25" customHeight="1" x14ac:dyDescent="0.25">
      <c r="A228" s="5" t="s">
        <v>258</v>
      </c>
      <c r="B228">
        <v>2000000</v>
      </c>
      <c r="C228" s="5">
        <v>-22.013500000000001</v>
      </c>
      <c r="D228" s="5">
        <v>-48.002099999999999</v>
      </c>
    </row>
    <row r="229" spans="1:4" ht="14.25" customHeight="1" x14ac:dyDescent="0.25">
      <c r="A229" s="5" t="s">
        <v>85</v>
      </c>
      <c r="B229">
        <v>3000000</v>
      </c>
      <c r="C229" s="5">
        <v>-23.103210000000001</v>
      </c>
      <c r="D229" s="5">
        <v>-49.592860000000002</v>
      </c>
    </row>
    <row r="230" spans="1:4" ht="14.25" customHeight="1" x14ac:dyDescent="0.25">
      <c r="A230" s="5" t="s">
        <v>86</v>
      </c>
      <c r="B230">
        <v>4000000</v>
      </c>
      <c r="C230" s="5">
        <v>-17.695799999999998</v>
      </c>
      <c r="D230" s="5">
        <v>-51.625</v>
      </c>
    </row>
    <row r="231" spans="1:4" ht="14.25" customHeight="1" x14ac:dyDescent="0.25">
      <c r="A231" s="5" t="s">
        <v>87</v>
      </c>
      <c r="B231">
        <v>3000000</v>
      </c>
      <c r="C231" s="5">
        <v>-19.988800000000001</v>
      </c>
      <c r="D231" s="5">
        <v>-47.797199999999997</v>
      </c>
    </row>
    <row r="232" spans="1:4" ht="14.25" customHeight="1" x14ac:dyDescent="0.25">
      <c r="A232" s="5" t="s">
        <v>88</v>
      </c>
      <c r="B232">
        <v>4000000</v>
      </c>
      <c r="C232" s="5">
        <v>-22.57508</v>
      </c>
      <c r="D232" s="5">
        <v>-50.653619999999997</v>
      </c>
    </row>
    <row r="233" spans="1:4" ht="14.25" customHeight="1" x14ac:dyDescent="0.25">
      <c r="A233" s="5" t="s">
        <v>259</v>
      </c>
      <c r="B233">
        <v>2000000</v>
      </c>
      <c r="C233" s="5">
        <v>-21.197949999999999</v>
      </c>
      <c r="D233" s="5">
        <v>-51.215670000000003</v>
      </c>
    </row>
    <row r="234" spans="1:4" ht="14.25" customHeight="1" x14ac:dyDescent="0.25">
      <c r="A234" s="5" t="s">
        <v>89</v>
      </c>
      <c r="B234">
        <v>3000000</v>
      </c>
      <c r="C234" s="5">
        <v>-22.465779999999999</v>
      </c>
      <c r="D234" s="5">
        <v>-50.491970000000002</v>
      </c>
    </row>
    <row r="235" spans="1:4" ht="14.25" customHeight="1" x14ac:dyDescent="0.25">
      <c r="A235" s="5" t="s">
        <v>90</v>
      </c>
      <c r="B235">
        <v>3000000</v>
      </c>
      <c r="C235" s="5">
        <v>-23.001339999999999</v>
      </c>
      <c r="D235" s="5">
        <v>-47.52966</v>
      </c>
    </row>
    <row r="236" spans="1:4" ht="14.25" customHeight="1" x14ac:dyDescent="0.25">
      <c r="A236" s="8" t="s">
        <v>260</v>
      </c>
      <c r="B236">
        <v>2000000</v>
      </c>
      <c r="C236" s="5">
        <v>-22.800820000000002</v>
      </c>
      <c r="D236" s="5">
        <v>-47.662489999999998</v>
      </c>
    </row>
    <row r="237" spans="1:4" ht="14.25" customHeight="1" x14ac:dyDescent="0.25">
      <c r="A237" s="5" t="s">
        <v>91</v>
      </c>
      <c r="B237">
        <v>5000000</v>
      </c>
      <c r="C237" s="5">
        <v>-22.786539999999999</v>
      </c>
      <c r="D237" s="5">
        <v>-50.550579999999997</v>
      </c>
    </row>
    <row r="238" spans="1:4" ht="14.25" customHeight="1" x14ac:dyDescent="0.25">
      <c r="A238" s="5" t="s">
        <v>92</v>
      </c>
      <c r="B238">
        <v>3000000</v>
      </c>
      <c r="C238" s="5">
        <v>-21.329470000000001</v>
      </c>
      <c r="D238" s="5">
        <v>-50.955109999999998</v>
      </c>
    </row>
    <row r="239" spans="1:4" ht="14.25" customHeight="1" x14ac:dyDescent="0.25">
      <c r="A239" s="5" t="s">
        <v>93</v>
      </c>
      <c r="B239">
        <v>3000000</v>
      </c>
      <c r="C239" s="5">
        <v>-22.349299999999999</v>
      </c>
      <c r="D239" s="5">
        <v>-48.105499999999999</v>
      </c>
    </row>
    <row r="240" spans="1:4" ht="14.25" customHeight="1" x14ac:dyDescent="0.25">
      <c r="A240" s="5" t="s">
        <v>94</v>
      </c>
      <c r="B240">
        <v>3000000</v>
      </c>
      <c r="C240" s="5">
        <v>-22.105599999999999</v>
      </c>
      <c r="D240" s="5">
        <v>-48.481699999999996</v>
      </c>
    </row>
    <row r="241" spans="1:4" ht="14.25" customHeight="1" x14ac:dyDescent="0.25">
      <c r="A241" s="5" t="s">
        <v>95</v>
      </c>
      <c r="B241">
        <v>3000000</v>
      </c>
      <c r="C241" s="5">
        <v>-23.855899999999998</v>
      </c>
      <c r="D241" s="5">
        <v>-51.889600000000002</v>
      </c>
    </row>
    <row r="242" spans="1:4" ht="14.25" customHeight="1" x14ac:dyDescent="0.25">
      <c r="A242" s="5" t="s">
        <v>261</v>
      </c>
      <c r="B242">
        <v>1000000</v>
      </c>
      <c r="C242" s="5">
        <v>-23.603899999999999</v>
      </c>
      <c r="D242" s="5">
        <v>-51.866900000000001</v>
      </c>
    </row>
    <row r="243" spans="1:4" ht="14.25" customHeight="1" x14ac:dyDescent="0.25">
      <c r="A243" s="8" t="s">
        <v>262</v>
      </c>
      <c r="B243">
        <v>1000000</v>
      </c>
      <c r="C243" s="5">
        <v>-8.5335699999999992</v>
      </c>
      <c r="D243" s="5">
        <v>-35.386155000000002</v>
      </c>
    </row>
    <row r="244" spans="1:4" ht="14.25" customHeight="1" x14ac:dyDescent="0.25">
      <c r="A244" s="5" t="s">
        <v>96</v>
      </c>
      <c r="B244">
        <v>3000000</v>
      </c>
      <c r="C244" s="5">
        <v>-23.132110000000001</v>
      </c>
      <c r="D244" s="5">
        <v>-54.200409999999998</v>
      </c>
    </row>
    <row r="245" spans="1:4" ht="14.25" customHeight="1" x14ac:dyDescent="0.25">
      <c r="A245" s="5" t="s">
        <v>263</v>
      </c>
      <c r="B245">
        <v>1000000</v>
      </c>
      <c r="C245" s="5">
        <v>-15.940944999999999</v>
      </c>
      <c r="D245" s="5">
        <v>-51.353149999999999</v>
      </c>
    </row>
    <row r="246" spans="1:4" ht="14.25" customHeight="1" x14ac:dyDescent="0.25">
      <c r="A246" s="5" t="s">
        <v>264</v>
      </c>
      <c r="B246">
        <v>1000000</v>
      </c>
      <c r="C246" s="5">
        <v>-17.844747000000002</v>
      </c>
      <c r="D246" s="5">
        <v>-45.872146999999998</v>
      </c>
    </row>
    <row r="247" spans="1:4" ht="14.25" customHeight="1" x14ac:dyDescent="0.25">
      <c r="A247" s="5" t="s">
        <v>265</v>
      </c>
      <c r="B247">
        <v>2000000</v>
      </c>
      <c r="C247" s="5">
        <v>-22.914076999999999</v>
      </c>
      <c r="D247" s="5">
        <v>-49.000186999999997</v>
      </c>
    </row>
    <row r="248" spans="1:4" ht="14.25" customHeight="1" x14ac:dyDescent="0.25">
      <c r="A248" s="5" t="s">
        <v>266</v>
      </c>
      <c r="B248">
        <v>3000000</v>
      </c>
      <c r="C248" s="5">
        <v>-21.338999999999999</v>
      </c>
      <c r="D248" s="5">
        <v>-51.366</v>
      </c>
    </row>
    <row r="249" spans="1:4" ht="14.25" customHeight="1" x14ac:dyDescent="0.25">
      <c r="A249" s="8" t="s">
        <v>267</v>
      </c>
      <c r="B249">
        <v>1000000</v>
      </c>
      <c r="C249" s="5">
        <v>-23.2392</v>
      </c>
      <c r="D249" s="5">
        <v>-47.614100000000001</v>
      </c>
    </row>
    <row r="250" spans="1:4" ht="14.25" customHeight="1" x14ac:dyDescent="0.25">
      <c r="A250" s="8" t="s">
        <v>268</v>
      </c>
      <c r="B250">
        <v>3000000</v>
      </c>
      <c r="C250" s="5">
        <v>-21.279530000000001</v>
      </c>
      <c r="D250" s="5">
        <v>-48.172899999999998</v>
      </c>
    </row>
    <row r="251" spans="1:4" ht="14.25" customHeight="1" x14ac:dyDescent="0.25">
      <c r="A251" s="8" t="s">
        <v>269</v>
      </c>
      <c r="B251">
        <v>2000000</v>
      </c>
      <c r="C251" s="5">
        <v>-20.039539999999999</v>
      </c>
      <c r="D251" s="5">
        <v>-50.67597</v>
      </c>
    </row>
    <row r="252" spans="1:4" ht="14.25" customHeight="1" x14ac:dyDescent="0.25">
      <c r="A252" s="5" t="s">
        <v>270</v>
      </c>
      <c r="B252">
        <v>1000000</v>
      </c>
      <c r="C252" s="5">
        <v>-9.7622119999999999</v>
      </c>
      <c r="D252" s="5">
        <v>-36.141089999999998</v>
      </c>
    </row>
    <row r="253" spans="1:4" ht="14.25" customHeight="1" x14ac:dyDescent="0.25">
      <c r="A253" s="5" t="s">
        <v>271</v>
      </c>
      <c r="B253">
        <v>1000000</v>
      </c>
      <c r="C253" s="5">
        <v>-16.183033999999999</v>
      </c>
      <c r="D253" s="5">
        <v>-39.328853000000002</v>
      </c>
    </row>
    <row r="254" spans="1:4" ht="14.25" customHeight="1" x14ac:dyDescent="0.25">
      <c r="A254" s="5" t="s">
        <v>108</v>
      </c>
      <c r="B254">
        <v>5000000</v>
      </c>
      <c r="C254" s="5">
        <v>-21.7545</v>
      </c>
      <c r="D254" s="5">
        <v>-48.079300000000003</v>
      </c>
    </row>
    <row r="255" spans="1:4" ht="14.25" customHeight="1" x14ac:dyDescent="0.25">
      <c r="A255" s="5" t="s">
        <v>99</v>
      </c>
      <c r="B255">
        <v>3000000</v>
      </c>
      <c r="C255" s="5">
        <v>-21.818439999999999</v>
      </c>
      <c r="D255" s="5">
        <v>-48.61374</v>
      </c>
    </row>
    <row r="256" spans="1:4" ht="14.25" customHeight="1" x14ac:dyDescent="0.25">
      <c r="A256" s="5" t="s">
        <v>109</v>
      </c>
      <c r="B256">
        <v>3000000</v>
      </c>
      <c r="C256" s="5">
        <v>-17.822500000000002</v>
      </c>
      <c r="D256" s="5">
        <v>-50.539299999999997</v>
      </c>
    </row>
    <row r="257" spans="1:4" ht="14.25" customHeight="1" x14ac:dyDescent="0.25">
      <c r="A257" s="5" t="s">
        <v>272</v>
      </c>
      <c r="B257">
        <v>3000000</v>
      </c>
      <c r="C257" s="5">
        <v>-21.998999999999999</v>
      </c>
      <c r="D257" s="5">
        <v>-53.424999999999997</v>
      </c>
    </row>
    <row r="258" spans="1:4" ht="14.25" customHeight="1" x14ac:dyDescent="0.25">
      <c r="A258" s="5" t="s">
        <v>273</v>
      </c>
      <c r="B258">
        <v>1000000</v>
      </c>
      <c r="C258" s="5">
        <v>-21.086099999999998</v>
      </c>
      <c r="D258" s="5">
        <v>-48.034300000000002</v>
      </c>
    </row>
    <row r="259" spans="1:4" ht="14.25" customHeight="1" x14ac:dyDescent="0.25">
      <c r="A259" s="5" t="s">
        <v>274</v>
      </c>
      <c r="B259">
        <v>4000000</v>
      </c>
      <c r="C259" s="5">
        <v>-21.510490000000001</v>
      </c>
      <c r="D259" s="5">
        <v>-49.209899999999998</v>
      </c>
    </row>
    <row r="260" spans="1:4" ht="14.25" customHeight="1" x14ac:dyDescent="0.25">
      <c r="A260" s="5" t="s">
        <v>101</v>
      </c>
      <c r="B260">
        <v>4000000</v>
      </c>
      <c r="C260" s="5">
        <v>-19.544119999999999</v>
      </c>
      <c r="D260" s="5">
        <v>-47.425823000000001</v>
      </c>
    </row>
    <row r="261" spans="1:4" ht="14.25" customHeight="1" x14ac:dyDescent="0.25">
      <c r="A261" s="5" t="s">
        <v>275</v>
      </c>
      <c r="B261">
        <v>1000000</v>
      </c>
      <c r="C261" s="5">
        <v>-22.3353</v>
      </c>
      <c r="D261" s="5">
        <v>-47.4054</v>
      </c>
    </row>
    <row r="262" spans="1:4" ht="14.25" customHeight="1" x14ac:dyDescent="0.25">
      <c r="A262" s="5" t="s">
        <v>276</v>
      </c>
      <c r="B262">
        <v>5500000</v>
      </c>
      <c r="C262" s="5">
        <v>-21.588429999999999</v>
      </c>
      <c r="D262" s="5">
        <v>-54.246975999999997</v>
      </c>
    </row>
    <row r="263" spans="1:4" ht="14.25" customHeight="1" x14ac:dyDescent="0.25">
      <c r="A263" s="5" t="s">
        <v>277</v>
      </c>
      <c r="B263">
        <v>1000000</v>
      </c>
      <c r="C263" s="5">
        <v>-9.0493000000000006</v>
      </c>
      <c r="D263" s="5">
        <v>-35.4161</v>
      </c>
    </row>
    <row r="264" spans="1:4" ht="14.25" customHeight="1" x14ac:dyDescent="0.25">
      <c r="A264" s="5" t="s">
        <v>278</v>
      </c>
      <c r="B264">
        <v>1000000</v>
      </c>
      <c r="C264" s="5">
        <v>-17.456948000000001</v>
      </c>
      <c r="D264" s="5">
        <v>-40.140842999999997</v>
      </c>
    </row>
    <row r="265" spans="1:4" ht="14.25" customHeight="1" x14ac:dyDescent="0.25">
      <c r="A265" s="5" t="s">
        <v>279</v>
      </c>
      <c r="B265">
        <v>2000000</v>
      </c>
      <c r="C265" s="5">
        <v>-23.1615</v>
      </c>
      <c r="D265" s="5">
        <v>-47.783200000000001</v>
      </c>
    </row>
    <row r="266" spans="1:4" ht="14.25" customHeight="1" x14ac:dyDescent="0.25">
      <c r="A266" s="5" t="s">
        <v>280</v>
      </c>
      <c r="B266">
        <v>1000000</v>
      </c>
      <c r="C266" s="5">
        <v>-23.044248</v>
      </c>
      <c r="D266" s="5">
        <v>-49.257325000000002</v>
      </c>
    </row>
    <row r="267" spans="1:4" ht="14.25" customHeight="1" x14ac:dyDescent="0.25">
      <c r="A267" s="5" t="s">
        <v>281</v>
      </c>
      <c r="B267">
        <v>3000000</v>
      </c>
      <c r="C267" s="5">
        <v>-21.71978</v>
      </c>
      <c r="D267" s="5">
        <v>-47.639499999999998</v>
      </c>
    </row>
    <row r="268" spans="1:4" ht="14.25" customHeight="1" x14ac:dyDescent="0.25">
      <c r="A268" s="5" t="s">
        <v>282</v>
      </c>
      <c r="B268">
        <v>2000000</v>
      </c>
      <c r="C268" s="5">
        <v>-23.372599999999998</v>
      </c>
      <c r="D268" s="5">
        <v>-52.905000000000001</v>
      </c>
    </row>
    <row r="269" spans="1:4" ht="14.25" customHeight="1" x14ac:dyDescent="0.25">
      <c r="A269" s="5" t="s">
        <v>283</v>
      </c>
      <c r="B269">
        <v>2000000</v>
      </c>
      <c r="C269" s="5">
        <v>-23.3873</v>
      </c>
      <c r="D269" s="5">
        <v>-53.435400000000001</v>
      </c>
    </row>
    <row r="270" spans="1:4" ht="14.25" customHeight="1" x14ac:dyDescent="0.25">
      <c r="A270" s="5" t="s">
        <v>284</v>
      </c>
      <c r="B270">
        <v>2000000</v>
      </c>
      <c r="C270" s="5">
        <v>-23.398299999999999</v>
      </c>
      <c r="D270" s="5">
        <v>-52.093299999999999</v>
      </c>
    </row>
    <row r="271" spans="1:4" ht="14.25" customHeight="1" x14ac:dyDescent="0.25">
      <c r="A271" s="5" t="s">
        <v>285</v>
      </c>
      <c r="B271">
        <v>3000000</v>
      </c>
      <c r="C271" s="5">
        <v>-22.8764</v>
      </c>
      <c r="D271" s="5">
        <v>-52.183100000000003</v>
      </c>
    </row>
    <row r="272" spans="1:4" ht="14.25" customHeight="1" x14ac:dyDescent="0.25">
      <c r="A272" s="5" t="s">
        <v>286</v>
      </c>
      <c r="B272">
        <v>2000000</v>
      </c>
      <c r="C272" s="5">
        <v>-23.369199999999999</v>
      </c>
      <c r="D272" s="5">
        <v>-52.709800000000001</v>
      </c>
    </row>
    <row r="273" spans="1:4" ht="14.25" customHeight="1" x14ac:dyDescent="0.25">
      <c r="A273" s="5" t="s">
        <v>287</v>
      </c>
      <c r="B273">
        <v>1000000</v>
      </c>
      <c r="C273" s="5">
        <v>-23.542400000000001</v>
      </c>
      <c r="D273" s="5">
        <v>-52.650100000000002</v>
      </c>
    </row>
    <row r="274" spans="1:4" ht="14.25" customHeight="1" x14ac:dyDescent="0.25">
      <c r="A274" s="5" t="s">
        <v>288</v>
      </c>
      <c r="B274">
        <v>4000000</v>
      </c>
      <c r="C274" s="5">
        <v>-23.751999999999999</v>
      </c>
      <c r="D274" s="5">
        <v>-52.882800000000003</v>
      </c>
    </row>
    <row r="275" spans="1:4" ht="14.25" customHeight="1" x14ac:dyDescent="0.25">
      <c r="A275" s="5" t="s">
        <v>289</v>
      </c>
      <c r="B275">
        <v>2000000</v>
      </c>
      <c r="C275" s="5">
        <v>-22.7897</v>
      </c>
      <c r="D275" s="5">
        <v>-52.716999999999999</v>
      </c>
    </row>
    <row r="276" spans="1:4" ht="14.25" customHeight="1" x14ac:dyDescent="0.25">
      <c r="A276" s="5" t="s">
        <v>290</v>
      </c>
      <c r="B276">
        <v>3000000</v>
      </c>
      <c r="C276" s="5">
        <v>-18.774408000000001</v>
      </c>
      <c r="D276" s="5">
        <v>-50.232712999999997</v>
      </c>
    </row>
    <row r="277" spans="1:4" ht="14.25" customHeight="1" x14ac:dyDescent="0.25">
      <c r="A277" s="5" t="s">
        <v>291</v>
      </c>
      <c r="B277">
        <v>3000000</v>
      </c>
      <c r="C277" s="5">
        <v>-19.959800000000001</v>
      </c>
      <c r="D277" s="5">
        <v>-48.565300000000001</v>
      </c>
    </row>
    <row r="278" spans="1:4" ht="14.25" customHeight="1" x14ac:dyDescent="0.25">
      <c r="A278" s="5" t="s">
        <v>292</v>
      </c>
      <c r="B278">
        <v>3000000</v>
      </c>
      <c r="C278" s="5">
        <v>-24.893000000000001</v>
      </c>
      <c r="D278" s="5">
        <v>-52.203000000000003</v>
      </c>
    </row>
    <row r="279" spans="1:4" ht="14.25" customHeight="1" x14ac:dyDescent="0.25">
      <c r="A279" s="5" t="s">
        <v>118</v>
      </c>
      <c r="B279">
        <v>2000000</v>
      </c>
      <c r="C279" s="5">
        <v>-9.2844149999999992</v>
      </c>
      <c r="D279" s="5">
        <v>-35.561788999999997</v>
      </c>
    </row>
    <row r="280" spans="1:4" ht="14.25" customHeight="1" x14ac:dyDescent="0.25">
      <c r="A280" s="5" t="s">
        <v>293</v>
      </c>
      <c r="B280">
        <v>3000000</v>
      </c>
      <c r="C280" s="5">
        <v>-21.120280000000001</v>
      </c>
      <c r="D280" s="5">
        <v>-47.960830000000001</v>
      </c>
    </row>
    <row r="281" spans="1:4" ht="14.25" customHeight="1" x14ac:dyDescent="0.25">
      <c r="A281" s="5" t="s">
        <v>294</v>
      </c>
      <c r="B281">
        <v>5000000</v>
      </c>
      <c r="C281" s="5">
        <v>-23.2681</v>
      </c>
      <c r="D281" s="5">
        <v>-52.488900000000001</v>
      </c>
    </row>
    <row r="282" spans="1:4" ht="14.25" customHeight="1" x14ac:dyDescent="0.25">
      <c r="A282" s="5" t="s">
        <v>295</v>
      </c>
      <c r="B282">
        <v>3000000</v>
      </c>
      <c r="C282" s="5">
        <v>-21.098299999999998</v>
      </c>
      <c r="D282" s="5">
        <v>-49.020600000000002</v>
      </c>
    </row>
    <row r="283" spans="1:4" ht="14.25" customHeight="1" x14ac:dyDescent="0.25">
      <c r="A283" s="5" t="s">
        <v>296</v>
      </c>
      <c r="B283">
        <v>5500000</v>
      </c>
      <c r="C283" s="5">
        <v>-22.314399999999999</v>
      </c>
      <c r="D283" s="5">
        <v>-54.933799999999998</v>
      </c>
    </row>
    <row r="284" spans="1:4" ht="14.25" customHeight="1" x14ac:dyDescent="0.25">
      <c r="A284" s="8" t="s">
        <v>297</v>
      </c>
      <c r="B284">
        <v>2000000</v>
      </c>
      <c r="C284" s="5">
        <v>-21.174952999999999</v>
      </c>
      <c r="D284" s="5">
        <v>-48.118772</v>
      </c>
    </row>
    <row r="285" spans="1:4" ht="14.25" customHeight="1" x14ac:dyDescent="0.25">
      <c r="A285" s="5" t="s">
        <v>298</v>
      </c>
      <c r="B285">
        <v>1000000</v>
      </c>
      <c r="C285" s="5">
        <v>-7.1327999999999996</v>
      </c>
      <c r="D285" s="5">
        <v>-35.009799999999998</v>
      </c>
    </row>
    <row r="286" spans="1:4" ht="14.25" customHeight="1" x14ac:dyDescent="0.25">
      <c r="A286" s="5" t="s">
        <v>299</v>
      </c>
      <c r="B286">
        <v>4000000</v>
      </c>
      <c r="C286" s="5">
        <v>-22.426400000000001</v>
      </c>
      <c r="D286" s="5">
        <v>-47.357500000000002</v>
      </c>
    </row>
    <row r="287" spans="1:4" ht="14.25" customHeight="1" x14ac:dyDescent="0.25">
      <c r="A287" s="5" t="s">
        <v>300</v>
      </c>
      <c r="B287">
        <v>1000000</v>
      </c>
      <c r="C287" s="5">
        <v>-22.908300000000001</v>
      </c>
      <c r="D287" s="5">
        <v>-50.278700000000001</v>
      </c>
    </row>
    <row r="288" spans="1:4" ht="14.25" customHeight="1" x14ac:dyDescent="0.25">
      <c r="A288" s="8" t="s">
        <v>301</v>
      </c>
      <c r="B288">
        <v>1000000</v>
      </c>
      <c r="C288" s="5">
        <v>-7.8215399999999997</v>
      </c>
      <c r="D288" s="5">
        <v>-35.010800000000003</v>
      </c>
    </row>
    <row r="289" spans="1:4" ht="14.25" customHeight="1" x14ac:dyDescent="0.25">
      <c r="A289" s="5" t="s">
        <v>302</v>
      </c>
      <c r="B289">
        <v>4000000</v>
      </c>
      <c r="C289" s="5">
        <v>-20.661999999999999</v>
      </c>
      <c r="D289" s="5">
        <v>-48.534999999999997</v>
      </c>
    </row>
    <row r="290" spans="1:4" ht="14.25" customHeight="1" x14ac:dyDescent="0.25">
      <c r="A290" s="5" t="s">
        <v>303</v>
      </c>
      <c r="B290">
        <v>3000000</v>
      </c>
      <c r="C290" s="5">
        <v>-21.485579999999999</v>
      </c>
      <c r="D290" s="5">
        <v>-49.187130000000003</v>
      </c>
    </row>
    <row r="291" spans="1:4" ht="14.25" customHeight="1" x14ac:dyDescent="0.25">
      <c r="A291" s="5" t="s">
        <v>304</v>
      </c>
      <c r="B291">
        <v>4000000</v>
      </c>
      <c r="C291" s="5">
        <v>-22.48751</v>
      </c>
      <c r="D291" s="5">
        <v>-48.780479999999997</v>
      </c>
    </row>
    <row r="292" spans="1:4" ht="14.25" customHeight="1" x14ac:dyDescent="0.25">
      <c r="A292" s="5" t="s">
        <v>305</v>
      </c>
      <c r="B292">
        <v>2000000</v>
      </c>
      <c r="C292" s="5">
        <v>-15.199759</v>
      </c>
      <c r="D292" s="5">
        <v>-43.884228</v>
      </c>
    </row>
    <row r="293" spans="1:4" ht="14.25" customHeight="1" x14ac:dyDescent="0.25">
      <c r="A293" s="8" t="s">
        <v>306</v>
      </c>
      <c r="B293">
        <v>3000000</v>
      </c>
      <c r="C293" s="5">
        <v>-22.937180000000001</v>
      </c>
      <c r="D293" s="5">
        <v>-49.768900000000002</v>
      </c>
    </row>
    <row r="294" spans="1:4" ht="14.25" customHeight="1" x14ac:dyDescent="0.25">
      <c r="A294" s="5" t="s">
        <v>307</v>
      </c>
      <c r="B294">
        <v>4000000</v>
      </c>
      <c r="C294" s="5">
        <v>-22.670300000000001</v>
      </c>
      <c r="D294" s="5">
        <v>-48.542900000000003</v>
      </c>
    </row>
    <row r="295" spans="1:4" ht="14.25" customHeight="1" x14ac:dyDescent="0.25">
      <c r="A295" s="5" t="s">
        <v>97</v>
      </c>
      <c r="B295">
        <v>5500000</v>
      </c>
      <c r="C295" s="5">
        <v>-21.314720000000001</v>
      </c>
      <c r="D295" s="5">
        <v>-48.122950000000003</v>
      </c>
    </row>
    <row r="296" spans="1:4" ht="14.25" customHeight="1" x14ac:dyDescent="0.25">
      <c r="A296" s="8" t="s">
        <v>308</v>
      </c>
      <c r="B296">
        <v>2000000</v>
      </c>
      <c r="C296" s="5">
        <v>-18.971509000000001</v>
      </c>
      <c r="D296" s="5">
        <v>-50.634943999999997</v>
      </c>
    </row>
    <row r="297" spans="1:4" ht="14.25" customHeight="1" x14ac:dyDescent="0.25">
      <c r="A297" s="5" t="s">
        <v>119</v>
      </c>
      <c r="B297">
        <v>2000000</v>
      </c>
      <c r="C297" s="5">
        <v>-9.9854699999999994</v>
      </c>
      <c r="D297" s="5">
        <v>-36.226500000000001</v>
      </c>
    </row>
    <row r="298" spans="1:4" ht="14.25" customHeight="1" x14ac:dyDescent="0.25">
      <c r="A298" s="5" t="s">
        <v>309</v>
      </c>
      <c r="B298">
        <v>1000000</v>
      </c>
      <c r="C298" s="5">
        <v>-8.9727350000000001</v>
      </c>
      <c r="D298" s="5">
        <v>-36.065696000000003</v>
      </c>
    </row>
    <row r="299" spans="1:4" ht="14.25" customHeight="1" x14ac:dyDescent="0.25">
      <c r="A299" s="5" t="s">
        <v>120</v>
      </c>
      <c r="B299">
        <v>2000000</v>
      </c>
      <c r="C299" s="5">
        <v>-9.9024599999999996</v>
      </c>
      <c r="D299" s="5">
        <v>-35.979500000000002</v>
      </c>
    </row>
    <row r="300" spans="1:4" ht="14.25" customHeight="1" x14ac:dyDescent="0.25">
      <c r="A300" s="8" t="s">
        <v>310</v>
      </c>
      <c r="B300">
        <v>3000000</v>
      </c>
      <c r="C300" s="5">
        <v>-18.505199999999999</v>
      </c>
      <c r="D300" s="5">
        <v>-49.654290000000003</v>
      </c>
    </row>
    <row r="301" spans="1:4" ht="14.25" customHeight="1" x14ac:dyDescent="0.25">
      <c r="A301" s="5" t="s">
        <v>311</v>
      </c>
      <c r="B301">
        <v>2000000</v>
      </c>
      <c r="C301" s="5">
        <v>-17.618300000000001</v>
      </c>
      <c r="D301" s="5">
        <v>-54.764000000000003</v>
      </c>
    </row>
    <row r="302" spans="1:4" ht="14.25" customHeight="1" x14ac:dyDescent="0.25">
      <c r="A302" s="5" t="s">
        <v>312</v>
      </c>
      <c r="B302">
        <v>1000000</v>
      </c>
      <c r="C302" s="5">
        <v>-9.7291139999999992</v>
      </c>
      <c r="D302" s="5">
        <v>-35.942869999999999</v>
      </c>
    </row>
    <row r="303" spans="1:4" ht="14.25" customHeight="1" x14ac:dyDescent="0.25">
      <c r="A303" s="8" t="s">
        <v>313</v>
      </c>
      <c r="B303">
        <v>1000000</v>
      </c>
      <c r="C303" s="5">
        <v>-7.5078199999999997</v>
      </c>
      <c r="D303" s="5">
        <v>-34.877752999999998</v>
      </c>
    </row>
    <row r="304" spans="1:4" ht="14.25" customHeight="1" x14ac:dyDescent="0.25">
      <c r="A304" s="5" t="s">
        <v>314</v>
      </c>
      <c r="B304">
        <v>1000000</v>
      </c>
      <c r="C304" s="5">
        <v>-10.606209</v>
      </c>
      <c r="D304" s="5">
        <v>-37.061368999999999</v>
      </c>
    </row>
    <row r="305" spans="1:4" ht="14.25" customHeight="1" x14ac:dyDescent="0.25">
      <c r="A305" s="5" t="s">
        <v>315</v>
      </c>
      <c r="B305">
        <v>1000000</v>
      </c>
      <c r="C305" s="5">
        <v>-4.6236119999999996</v>
      </c>
      <c r="D305" s="5">
        <v>-43.612851999999997</v>
      </c>
    </row>
    <row r="306" spans="1:4" ht="14.25" customHeight="1" x14ac:dyDescent="0.25">
      <c r="A306" s="5" t="s">
        <v>316</v>
      </c>
      <c r="B306">
        <v>1000000</v>
      </c>
      <c r="C306" s="5">
        <v>-23.091460000000001</v>
      </c>
      <c r="D306" s="5">
        <v>-49.167219000000003</v>
      </c>
    </row>
    <row r="307" spans="1:4" ht="14.25" customHeight="1" x14ac:dyDescent="0.25">
      <c r="A307" s="5" t="s">
        <v>121</v>
      </c>
      <c r="B307">
        <v>2000000</v>
      </c>
      <c r="C307" s="5">
        <v>-8.5804489999999998</v>
      </c>
      <c r="D307" s="5">
        <v>-35.129458999999997</v>
      </c>
    </row>
    <row r="308" spans="1:4" ht="14.25" customHeight="1" x14ac:dyDescent="0.25">
      <c r="A308" s="5" t="s">
        <v>317</v>
      </c>
      <c r="B308">
        <v>5000000</v>
      </c>
      <c r="C308" s="5">
        <v>-17.686146000000001</v>
      </c>
      <c r="D308" s="5">
        <v>-50.112566000000001</v>
      </c>
    </row>
    <row r="309" spans="1:4" ht="14.25" customHeight="1" x14ac:dyDescent="0.25">
      <c r="A309" s="8" t="s">
        <v>318</v>
      </c>
      <c r="B309">
        <v>2000000</v>
      </c>
      <c r="C309" s="5">
        <v>-19.393934000000002</v>
      </c>
      <c r="D309" s="5">
        <v>-47.823005000000002</v>
      </c>
    </row>
    <row r="310" spans="1:4" ht="14.25" customHeight="1" x14ac:dyDescent="0.25">
      <c r="A310" s="5" t="s">
        <v>319</v>
      </c>
      <c r="B310">
        <v>3000000</v>
      </c>
      <c r="C310" s="5">
        <v>-22.557886</v>
      </c>
      <c r="D310" s="5">
        <v>-51.827412000000002</v>
      </c>
    </row>
    <row r="311" spans="1:4" ht="14.25" customHeight="1" x14ac:dyDescent="0.25">
      <c r="A311" s="8" t="s">
        <v>320</v>
      </c>
      <c r="B311">
        <v>1000000</v>
      </c>
      <c r="C311" s="5">
        <v>-8.7643690000000003</v>
      </c>
      <c r="D311" s="5">
        <v>-35.315579999999997</v>
      </c>
    </row>
    <row r="312" spans="1:4" ht="14.25" customHeight="1" x14ac:dyDescent="0.25">
      <c r="A312" s="5" t="s">
        <v>321</v>
      </c>
      <c r="B312">
        <v>3000000</v>
      </c>
      <c r="C312" s="5">
        <v>-21.4572</v>
      </c>
      <c r="D312" s="5">
        <v>-50.788600000000002</v>
      </c>
    </row>
    <row r="313" spans="1:4" ht="14.25" customHeight="1" x14ac:dyDescent="0.25">
      <c r="A313" s="5" t="s">
        <v>322</v>
      </c>
      <c r="B313">
        <v>1000000</v>
      </c>
      <c r="C313" s="5">
        <v>-8.3236589999999993</v>
      </c>
      <c r="D313" s="5">
        <v>-35.415804000000001</v>
      </c>
    </row>
    <row r="314" spans="1:4" ht="14.25" customHeight="1" x14ac:dyDescent="0.25">
      <c r="A314" s="8" t="s">
        <v>323</v>
      </c>
      <c r="B314">
        <v>2000000</v>
      </c>
      <c r="C314" s="5">
        <v>-21.044879999999999</v>
      </c>
      <c r="D314" s="5">
        <v>-48.720260000000003</v>
      </c>
    </row>
    <row r="315" spans="1:4" ht="14.25" customHeight="1" x14ac:dyDescent="0.25">
      <c r="A315" s="8" t="s">
        <v>324</v>
      </c>
      <c r="B315">
        <v>1000000</v>
      </c>
      <c r="C315" s="5">
        <v>-14.416294000000001</v>
      </c>
      <c r="D315" s="5">
        <v>-49.065505999999999</v>
      </c>
    </row>
    <row r="316" spans="1:4" ht="14.25" customHeight="1" x14ac:dyDescent="0.25">
      <c r="A316" s="8" t="s">
        <v>325</v>
      </c>
      <c r="B316">
        <v>5500000</v>
      </c>
      <c r="C316" s="5">
        <v>-21.636869999999998</v>
      </c>
      <c r="D316" s="5">
        <v>-49.837130000000002</v>
      </c>
    </row>
    <row r="317" spans="1:4" ht="14.25" customHeight="1" x14ac:dyDescent="0.25">
      <c r="A317" s="5" t="s">
        <v>326</v>
      </c>
      <c r="B317">
        <v>3000000</v>
      </c>
      <c r="C317" s="5">
        <v>-21.15307</v>
      </c>
      <c r="D317" s="5">
        <v>-49.611499999999999</v>
      </c>
    </row>
    <row r="318" spans="1:4" ht="14.25" customHeight="1" x14ac:dyDescent="0.25">
      <c r="A318" s="5" t="s">
        <v>327</v>
      </c>
      <c r="B318">
        <v>3000000</v>
      </c>
      <c r="C318" s="5">
        <v>-21.859300000000001</v>
      </c>
      <c r="D318" s="5">
        <v>-48.1845</v>
      </c>
    </row>
    <row r="319" spans="1:4" ht="14.25" customHeight="1" x14ac:dyDescent="0.25">
      <c r="A319" s="5" t="s">
        <v>328</v>
      </c>
      <c r="B319">
        <v>1000000</v>
      </c>
      <c r="C319" s="5">
        <v>-10.508938000000001</v>
      </c>
      <c r="D319" s="5">
        <v>-36.974266</v>
      </c>
    </row>
    <row r="320" spans="1:4" ht="14.25" customHeight="1" x14ac:dyDescent="0.25">
      <c r="A320" s="5" t="s">
        <v>329</v>
      </c>
      <c r="B320">
        <v>1000000</v>
      </c>
      <c r="C320" s="5">
        <v>-17.100166999999999</v>
      </c>
      <c r="D320" s="5">
        <v>-46.634917000000002</v>
      </c>
    </row>
    <row r="321" spans="1:4" ht="14.25" customHeight="1" x14ac:dyDescent="0.25">
      <c r="A321" s="5" t="s">
        <v>330</v>
      </c>
      <c r="B321">
        <v>2000000</v>
      </c>
      <c r="C321" s="5">
        <v>-20.389500000000002</v>
      </c>
      <c r="D321" s="5">
        <v>-51.032499999999999</v>
      </c>
    </row>
    <row r="322" spans="1:4" ht="14.25" customHeight="1" x14ac:dyDescent="0.25">
      <c r="A322" s="5" t="s">
        <v>331</v>
      </c>
      <c r="B322">
        <v>3000000</v>
      </c>
      <c r="C322" s="5">
        <v>-19.35323</v>
      </c>
      <c r="D322" s="5">
        <v>-48.243920000000003</v>
      </c>
    </row>
    <row r="323" spans="1:4" ht="14.25" customHeight="1" x14ac:dyDescent="0.25">
      <c r="A323" s="5" t="s">
        <v>332</v>
      </c>
      <c r="B323">
        <v>4000000</v>
      </c>
      <c r="C323" s="5">
        <v>-17.970199999999998</v>
      </c>
      <c r="D323" s="5">
        <v>-50.316299999999998</v>
      </c>
    </row>
    <row r="324" spans="1:4" ht="14.25" customHeight="1" x14ac:dyDescent="0.25">
      <c r="A324" s="5" t="s">
        <v>333</v>
      </c>
      <c r="B324">
        <v>2000000</v>
      </c>
      <c r="C324" s="5">
        <v>-14.979100000000001</v>
      </c>
      <c r="D324" s="5">
        <v>-49.5396</v>
      </c>
    </row>
    <row r="325" spans="1:4" ht="14.25" customHeight="1" x14ac:dyDescent="0.25">
      <c r="A325" s="5" t="s">
        <v>334</v>
      </c>
      <c r="B325">
        <v>1000000</v>
      </c>
      <c r="C325" s="5">
        <v>-6.4162699999999999</v>
      </c>
      <c r="D325" s="5">
        <v>-35.055700000000002</v>
      </c>
    </row>
    <row r="326" spans="1:4" ht="14.25" customHeight="1" x14ac:dyDescent="0.25">
      <c r="A326" s="5" t="s">
        <v>335</v>
      </c>
      <c r="B326">
        <v>1000000</v>
      </c>
      <c r="C326" s="5">
        <v>-17.731729999999999</v>
      </c>
      <c r="D326" s="5">
        <v>-45.833829999999999</v>
      </c>
    </row>
    <row r="327" spans="1:4" ht="14.25" customHeight="1" x14ac:dyDescent="0.25">
      <c r="A327" s="5" t="s">
        <v>336</v>
      </c>
      <c r="B327">
        <v>3000000</v>
      </c>
      <c r="C327" s="5">
        <v>-20.4055</v>
      </c>
      <c r="D327" s="5">
        <v>-49.000599999999999</v>
      </c>
    </row>
    <row r="328" spans="1:4" ht="14.25" customHeight="1" x14ac:dyDescent="0.25">
      <c r="A328" s="5" t="s">
        <v>337</v>
      </c>
      <c r="B328">
        <v>1000000</v>
      </c>
      <c r="C328" s="5">
        <v>-22.48</v>
      </c>
      <c r="D328" s="5">
        <v>-54.409100000000002</v>
      </c>
    </row>
    <row r="329" spans="1:4" ht="14.25" customHeight="1" x14ac:dyDescent="0.25">
      <c r="A329" s="5" t="s">
        <v>338</v>
      </c>
      <c r="B329">
        <v>3000000</v>
      </c>
      <c r="C329" s="5">
        <v>-20.93854</v>
      </c>
      <c r="D329" s="5">
        <v>-48.250070000000001</v>
      </c>
    </row>
    <row r="330" spans="1:4" ht="14.25" customHeight="1" x14ac:dyDescent="0.25">
      <c r="A330" s="5" t="s">
        <v>339</v>
      </c>
      <c r="B330">
        <v>3000000</v>
      </c>
      <c r="C330" s="5">
        <v>-21.087499999999999</v>
      </c>
      <c r="D330" s="5">
        <v>-51.583880000000001</v>
      </c>
    </row>
    <row r="331" spans="1:4" ht="14.25" customHeight="1" x14ac:dyDescent="0.25">
      <c r="A331" s="5" t="s">
        <v>340</v>
      </c>
      <c r="B331">
        <v>4000000</v>
      </c>
      <c r="C331" s="5">
        <v>-21.589289999999998</v>
      </c>
      <c r="D331" s="5">
        <v>-51.455970000000001</v>
      </c>
    </row>
    <row r="332" spans="1:4" ht="14.25" customHeight="1" x14ac:dyDescent="0.25">
      <c r="A332" s="5" t="s">
        <v>341</v>
      </c>
      <c r="B332">
        <v>5000000</v>
      </c>
      <c r="C332" s="5">
        <v>-21.1294</v>
      </c>
      <c r="D332" s="5">
        <v>-48.834299999999999</v>
      </c>
    </row>
    <row r="333" spans="1:4" ht="14.25" customHeight="1" x14ac:dyDescent="0.25">
      <c r="A333" s="5" t="s">
        <v>342</v>
      </c>
      <c r="B333">
        <v>3000000</v>
      </c>
      <c r="C333" s="5">
        <v>-20.8765</v>
      </c>
      <c r="D333" s="5">
        <v>-50.127699999999997</v>
      </c>
    </row>
    <row r="334" spans="1:4" ht="14.25" customHeight="1" x14ac:dyDescent="0.25">
      <c r="A334" s="5" t="s">
        <v>343</v>
      </c>
      <c r="B334">
        <v>2000000</v>
      </c>
      <c r="C334" s="5">
        <v>-22.412099999999999</v>
      </c>
      <c r="D334" s="5">
        <v>-46.805300000000003</v>
      </c>
    </row>
    <row r="335" spans="1:4" ht="14.25" customHeight="1" x14ac:dyDescent="0.25">
      <c r="A335" s="5" t="s">
        <v>344</v>
      </c>
      <c r="B335">
        <v>2000000</v>
      </c>
      <c r="C335" s="5">
        <v>-23.488900000000001</v>
      </c>
      <c r="D335" s="5">
        <v>-48.103299999999997</v>
      </c>
    </row>
    <row r="336" spans="1:4" ht="14.25" customHeight="1" x14ac:dyDescent="0.25">
      <c r="A336" s="8" t="s">
        <v>345</v>
      </c>
      <c r="B336">
        <v>2000000</v>
      </c>
      <c r="C336" s="8">
        <v>-18.217700000000001</v>
      </c>
      <c r="D336" s="8">
        <v>-45.990600000000001</v>
      </c>
    </row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honeticPr fontId="6" type="noConversion"/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6C320-F25B-4164-A646-E68B8D1B11AD}">
  <dimension ref="A1:D116"/>
  <sheetViews>
    <sheetView workbookViewId="0">
      <selection activeCell="F1" sqref="F1:F1048576"/>
    </sheetView>
  </sheetViews>
  <sheetFormatPr defaultRowHeight="15" x14ac:dyDescent="0.25"/>
  <cols>
    <col min="1" max="2" width="32.85546875" customWidth="1"/>
    <col min="3" max="4" width="8.7109375" customWidth="1"/>
  </cols>
  <sheetData>
    <row r="1" spans="1:4" x14ac:dyDescent="0.25">
      <c r="A1" s="6" t="s">
        <v>0</v>
      </c>
      <c r="B1" s="7" t="s">
        <v>1</v>
      </c>
      <c r="C1" t="s">
        <v>346</v>
      </c>
      <c r="D1" t="s">
        <v>347</v>
      </c>
    </row>
    <row r="2" spans="1:4" x14ac:dyDescent="0.25">
      <c r="A2" t="s">
        <v>136</v>
      </c>
      <c r="B2">
        <v>1000000</v>
      </c>
      <c r="C2" s="5">
        <v>-22.6035</v>
      </c>
      <c r="D2" s="5">
        <v>-42.1571</v>
      </c>
    </row>
    <row r="3" spans="1:4" x14ac:dyDescent="0.25">
      <c r="A3" t="s">
        <v>122</v>
      </c>
      <c r="B3">
        <v>1000000</v>
      </c>
      <c r="C3" s="5">
        <v>-8.6253600000000006</v>
      </c>
      <c r="D3" s="5">
        <v>-35.525700000000001</v>
      </c>
    </row>
    <row r="4" spans="1:4" x14ac:dyDescent="0.25">
      <c r="A4" t="s">
        <v>123</v>
      </c>
      <c r="B4">
        <v>1000000</v>
      </c>
      <c r="C4" s="5">
        <v>-4.8339999999999996</v>
      </c>
      <c r="D4" s="5">
        <v>-37.780999999999999</v>
      </c>
    </row>
    <row r="5" spans="1:4" x14ac:dyDescent="0.25">
      <c r="A5" t="s">
        <v>124</v>
      </c>
      <c r="B5">
        <v>1000000</v>
      </c>
      <c r="C5" s="5">
        <v>-6.8112000000000004</v>
      </c>
      <c r="D5" s="5">
        <v>-45.878500000000003</v>
      </c>
    </row>
    <row r="6" spans="1:4" x14ac:dyDescent="0.25">
      <c r="A6" t="s">
        <v>144</v>
      </c>
      <c r="B6">
        <v>2000000</v>
      </c>
      <c r="C6" s="5">
        <v>-21.589110000000002</v>
      </c>
      <c r="D6" s="5">
        <v>-51.675775000000002</v>
      </c>
    </row>
    <row r="7" spans="1:4" x14ac:dyDescent="0.25">
      <c r="A7" t="s">
        <v>13</v>
      </c>
      <c r="B7">
        <v>4000000</v>
      </c>
      <c r="C7" s="5">
        <v>-17.733529999999998</v>
      </c>
      <c r="D7" s="5">
        <v>-53.30491</v>
      </c>
    </row>
    <row r="8" spans="1:4" x14ac:dyDescent="0.25">
      <c r="A8" t="s">
        <v>146</v>
      </c>
      <c r="B8">
        <v>1000000</v>
      </c>
      <c r="C8" s="5">
        <v>-23.389900000000001</v>
      </c>
      <c r="D8" s="5">
        <v>-50.710900000000002</v>
      </c>
    </row>
    <row r="9" spans="1:4" x14ac:dyDescent="0.25">
      <c r="A9" t="s">
        <v>16</v>
      </c>
      <c r="B9">
        <v>3000000</v>
      </c>
      <c r="C9" s="5">
        <v>-16.4146</v>
      </c>
      <c r="D9" s="5">
        <v>-49.945500000000003</v>
      </c>
    </row>
    <row r="10" spans="1:4" x14ac:dyDescent="0.25">
      <c r="A10" t="s">
        <v>125</v>
      </c>
      <c r="B10">
        <v>1000000</v>
      </c>
      <c r="C10" s="5">
        <v>-17.641961999999999</v>
      </c>
      <c r="D10" s="5">
        <v>-40.182929000000001</v>
      </c>
    </row>
    <row r="11" spans="1:4" x14ac:dyDescent="0.25">
      <c r="A11" t="s">
        <v>151</v>
      </c>
      <c r="B11">
        <v>2000000</v>
      </c>
      <c r="C11" s="5">
        <v>-20.08623</v>
      </c>
      <c r="D11" s="5">
        <v>-46.043568999999998</v>
      </c>
    </row>
    <row r="12" spans="1:4" x14ac:dyDescent="0.25">
      <c r="A12" t="s">
        <v>152</v>
      </c>
      <c r="B12">
        <v>2000000</v>
      </c>
      <c r="C12" s="5">
        <v>-21.566099999999999</v>
      </c>
      <c r="D12" s="5">
        <v>-50.959800000000001</v>
      </c>
    </row>
    <row r="13" spans="1:4" x14ac:dyDescent="0.25">
      <c r="A13" t="s">
        <v>126</v>
      </c>
      <c r="B13">
        <v>1000000</v>
      </c>
      <c r="C13" s="5">
        <v>-9.7742000000000004</v>
      </c>
      <c r="D13" s="5">
        <v>-36.085377999999999</v>
      </c>
    </row>
    <row r="14" spans="1:4" x14ac:dyDescent="0.25">
      <c r="A14" t="s">
        <v>25</v>
      </c>
      <c r="B14">
        <v>4000000</v>
      </c>
      <c r="C14" s="5">
        <v>-21.217414999999999</v>
      </c>
      <c r="D14" s="5">
        <v>-50.206918000000002</v>
      </c>
    </row>
    <row r="15" spans="1:4" x14ac:dyDescent="0.25">
      <c r="A15" t="s">
        <v>127</v>
      </c>
      <c r="B15">
        <v>1000000</v>
      </c>
      <c r="C15" s="5">
        <v>-7.3533900000000001</v>
      </c>
      <c r="D15" s="5">
        <v>-35.028300000000002</v>
      </c>
    </row>
    <row r="16" spans="1:4" x14ac:dyDescent="0.25">
      <c r="A16" t="s">
        <v>33</v>
      </c>
      <c r="B16">
        <v>5000000</v>
      </c>
      <c r="C16" s="5">
        <v>-18.432976</v>
      </c>
      <c r="D16" s="5">
        <v>-50.261442000000002</v>
      </c>
    </row>
    <row r="17" spans="1:4" x14ac:dyDescent="0.25">
      <c r="A17" t="s">
        <v>128</v>
      </c>
      <c r="B17">
        <v>1000000</v>
      </c>
      <c r="C17" s="5">
        <v>-8.2390290000000004</v>
      </c>
      <c r="D17" s="5">
        <v>-35.033861999999999</v>
      </c>
    </row>
    <row r="18" spans="1:4" x14ac:dyDescent="0.25">
      <c r="A18" t="s">
        <v>35</v>
      </c>
      <c r="B18">
        <v>4000000</v>
      </c>
      <c r="C18" s="5">
        <v>-17.760231000000001</v>
      </c>
      <c r="D18" s="5">
        <v>-53.028979</v>
      </c>
    </row>
    <row r="19" spans="1:4" x14ac:dyDescent="0.25">
      <c r="A19" t="s">
        <v>155</v>
      </c>
      <c r="B19">
        <v>1000000</v>
      </c>
      <c r="C19" s="5">
        <v>-12.545</v>
      </c>
      <c r="D19" s="5">
        <v>-55.710999999999999</v>
      </c>
    </row>
    <row r="20" spans="1:4" x14ac:dyDescent="0.25">
      <c r="A20" t="s">
        <v>107</v>
      </c>
      <c r="B20">
        <v>3000000</v>
      </c>
      <c r="C20" s="5">
        <v>-20.218399999999999</v>
      </c>
      <c r="D20" s="5">
        <v>-47.653500000000001</v>
      </c>
    </row>
    <row r="21" spans="1:4" x14ac:dyDescent="0.25">
      <c r="A21" t="s">
        <v>156</v>
      </c>
      <c r="B21">
        <v>2000000</v>
      </c>
      <c r="C21" s="5">
        <v>-19.296593999999999</v>
      </c>
      <c r="D21" s="5">
        <v>-50.794511999999997</v>
      </c>
    </row>
    <row r="22" spans="1:4" x14ac:dyDescent="0.25">
      <c r="A22" t="s">
        <v>157</v>
      </c>
      <c r="B22">
        <v>1000000</v>
      </c>
      <c r="C22" s="5">
        <v>-18.517900000000001</v>
      </c>
      <c r="D22" s="5">
        <v>-48.727699999999999</v>
      </c>
    </row>
    <row r="23" spans="1:4" x14ac:dyDescent="0.25">
      <c r="A23" t="s">
        <v>5</v>
      </c>
      <c r="B23">
        <v>5000000</v>
      </c>
      <c r="C23" s="5">
        <v>-21.278490000000001</v>
      </c>
      <c r="D23" s="5">
        <v>-51.775100000000002</v>
      </c>
    </row>
    <row r="24" spans="1:4" x14ac:dyDescent="0.25">
      <c r="A24" t="s">
        <v>159</v>
      </c>
      <c r="B24">
        <v>1000000</v>
      </c>
      <c r="C24" s="5">
        <v>-21.773599999999998</v>
      </c>
      <c r="D24" s="5">
        <v>-49.611400000000003</v>
      </c>
    </row>
    <row r="25" spans="1:4" x14ac:dyDescent="0.25">
      <c r="A25" t="s">
        <v>160</v>
      </c>
      <c r="B25">
        <v>2000000</v>
      </c>
      <c r="C25" s="5">
        <v>-17.925315999999999</v>
      </c>
      <c r="D25" s="5">
        <v>-50.635012000000003</v>
      </c>
    </row>
    <row r="26" spans="1:4" x14ac:dyDescent="0.25">
      <c r="A26" t="s">
        <v>130</v>
      </c>
      <c r="B26">
        <v>1000000</v>
      </c>
      <c r="C26" s="5">
        <v>-10.483238999999999</v>
      </c>
      <c r="D26" s="5">
        <v>-37.120959999999997</v>
      </c>
    </row>
    <row r="27" spans="1:4" x14ac:dyDescent="0.25">
      <c r="A27" t="s">
        <v>161</v>
      </c>
      <c r="B27">
        <v>2000000</v>
      </c>
      <c r="C27" s="5">
        <v>-21.526184000000001</v>
      </c>
      <c r="D27" s="5">
        <v>-41.258296999999999</v>
      </c>
    </row>
    <row r="28" spans="1:4" x14ac:dyDescent="0.25">
      <c r="A28" t="s">
        <v>162</v>
      </c>
      <c r="B28">
        <v>1000000</v>
      </c>
      <c r="C28" s="5">
        <v>-14.865415</v>
      </c>
      <c r="D28" s="5">
        <v>-47.136856000000002</v>
      </c>
    </row>
    <row r="29" spans="1:4" x14ac:dyDescent="0.25">
      <c r="A29" t="s">
        <v>131</v>
      </c>
      <c r="B29">
        <v>1000000</v>
      </c>
      <c r="C29" s="5">
        <v>-5.6294300000000002</v>
      </c>
      <c r="D29" s="5">
        <v>-35.411499999999997</v>
      </c>
    </row>
    <row r="30" spans="1:4" x14ac:dyDescent="0.25">
      <c r="A30" t="s">
        <v>163</v>
      </c>
      <c r="B30">
        <v>1000000</v>
      </c>
      <c r="C30" s="5">
        <v>-16.347300000000001</v>
      </c>
      <c r="D30" s="5">
        <v>-49.4846</v>
      </c>
    </row>
    <row r="31" spans="1:4" x14ac:dyDescent="0.25">
      <c r="A31" t="s">
        <v>165</v>
      </c>
      <c r="B31">
        <v>1000000</v>
      </c>
      <c r="C31" s="5">
        <v>-23.167999999999999</v>
      </c>
      <c r="D31" s="5">
        <v>-54.393999999999998</v>
      </c>
    </row>
    <row r="32" spans="1:4" x14ac:dyDescent="0.25">
      <c r="A32" t="s">
        <v>168</v>
      </c>
      <c r="B32">
        <v>1000000</v>
      </c>
      <c r="C32" s="5">
        <v>-21.588381999999999</v>
      </c>
      <c r="D32" s="5">
        <v>-48.44115</v>
      </c>
    </row>
    <row r="33" spans="1:4" x14ac:dyDescent="0.25">
      <c r="A33" t="s">
        <v>133</v>
      </c>
      <c r="B33">
        <v>1000000</v>
      </c>
      <c r="C33" s="5">
        <v>-7.5509500000000003</v>
      </c>
      <c r="D33" s="5">
        <v>-35.273400000000002</v>
      </c>
    </row>
    <row r="34" spans="1:4" x14ac:dyDescent="0.25">
      <c r="A34" t="s">
        <v>174</v>
      </c>
      <c r="B34">
        <v>2000000</v>
      </c>
      <c r="C34" s="5">
        <v>-20.209686000000001</v>
      </c>
      <c r="D34" s="5">
        <v>-49.615367999999997</v>
      </c>
    </row>
    <row r="35" spans="1:4" x14ac:dyDescent="0.25">
      <c r="A35" t="s">
        <v>175</v>
      </c>
      <c r="B35">
        <v>1000000</v>
      </c>
      <c r="C35" s="5">
        <v>-22.979399999999998</v>
      </c>
      <c r="D35" s="5">
        <v>-49.793199999999999</v>
      </c>
    </row>
    <row r="36" spans="1:4" x14ac:dyDescent="0.25">
      <c r="A36" t="s">
        <v>176</v>
      </c>
      <c r="B36">
        <v>1000000</v>
      </c>
      <c r="C36" s="5">
        <v>-23.417151</v>
      </c>
      <c r="D36" s="5">
        <v>-47.784652999999999</v>
      </c>
    </row>
    <row r="37" spans="1:4" x14ac:dyDescent="0.25">
      <c r="A37" t="s">
        <v>178</v>
      </c>
      <c r="B37">
        <v>1000000</v>
      </c>
      <c r="C37" s="5">
        <v>-27.9041</v>
      </c>
      <c r="D37" s="5">
        <v>-55.161000000000001</v>
      </c>
    </row>
    <row r="38" spans="1:4" x14ac:dyDescent="0.25">
      <c r="A38" t="s">
        <v>182</v>
      </c>
      <c r="B38">
        <v>1000000</v>
      </c>
      <c r="C38" s="5">
        <v>-19.522500000000001</v>
      </c>
      <c r="D38" s="5">
        <v>-50.658000000000001</v>
      </c>
    </row>
    <row r="39" spans="1:4" x14ac:dyDescent="0.25">
      <c r="A39" t="s">
        <v>186</v>
      </c>
      <c r="B39">
        <v>1000000</v>
      </c>
      <c r="C39" s="5">
        <v>-18.647300000000001</v>
      </c>
      <c r="D39" s="5">
        <v>-49.2408</v>
      </c>
    </row>
    <row r="40" spans="1:4" x14ac:dyDescent="0.25">
      <c r="A40" t="s">
        <v>187</v>
      </c>
      <c r="B40">
        <v>2000000</v>
      </c>
      <c r="C40" s="5">
        <v>-17.83595</v>
      </c>
      <c r="D40" s="5">
        <v>-40.18824</v>
      </c>
    </row>
    <row r="41" spans="1:4" x14ac:dyDescent="0.25">
      <c r="A41" t="s">
        <v>189</v>
      </c>
      <c r="B41">
        <v>2000000</v>
      </c>
      <c r="C41" s="5">
        <v>-17.2775</v>
      </c>
      <c r="D41" s="5">
        <v>-50.147599999999997</v>
      </c>
    </row>
    <row r="42" spans="1:4" x14ac:dyDescent="0.25">
      <c r="A42" t="s">
        <v>190</v>
      </c>
      <c r="B42">
        <v>1000000</v>
      </c>
      <c r="C42" s="5">
        <v>-5.5938460000000001</v>
      </c>
      <c r="D42" s="5">
        <v>-44.828648000000001</v>
      </c>
    </row>
    <row r="43" spans="1:4" x14ac:dyDescent="0.25">
      <c r="A43" t="s">
        <v>192</v>
      </c>
      <c r="B43">
        <v>1000000</v>
      </c>
      <c r="C43" s="5">
        <v>-6.6119000000000003</v>
      </c>
      <c r="D43" s="5">
        <v>-35.058399999999999</v>
      </c>
    </row>
    <row r="44" spans="1:4" x14ac:dyDescent="0.25">
      <c r="A44" t="s">
        <v>194</v>
      </c>
      <c r="B44">
        <v>1000000</v>
      </c>
      <c r="C44" s="5">
        <v>-22.3005</v>
      </c>
      <c r="D44" s="5">
        <v>-48.091299999999997</v>
      </c>
    </row>
    <row r="45" spans="1:4" x14ac:dyDescent="0.25">
      <c r="A45" s="5" t="s">
        <v>54</v>
      </c>
      <c r="B45">
        <v>4000000</v>
      </c>
      <c r="C45" s="5">
        <v>-18.568027000000001</v>
      </c>
      <c r="D45" s="5">
        <v>-53.115034000000001</v>
      </c>
    </row>
    <row r="46" spans="1:4" x14ac:dyDescent="0.25">
      <c r="A46" s="8" t="s">
        <v>55</v>
      </c>
      <c r="B46">
        <v>5000000</v>
      </c>
      <c r="C46" s="5">
        <v>-18.793026999999999</v>
      </c>
      <c r="D46" s="5">
        <v>-51.006149000000001</v>
      </c>
    </row>
    <row r="47" spans="1:4" x14ac:dyDescent="0.25">
      <c r="A47" s="5" t="s">
        <v>195</v>
      </c>
      <c r="B47">
        <v>2000000</v>
      </c>
      <c r="C47" s="5">
        <v>-22.331040000000002</v>
      </c>
      <c r="D47" s="5">
        <v>-54.610168999999999</v>
      </c>
    </row>
    <row r="48" spans="1:4" x14ac:dyDescent="0.25">
      <c r="A48" s="5" t="s">
        <v>197</v>
      </c>
      <c r="B48">
        <v>2000000</v>
      </c>
      <c r="C48" s="5">
        <v>-20.575099999999999</v>
      </c>
      <c r="D48" s="5">
        <v>-50.384399999999999</v>
      </c>
    </row>
    <row r="49" spans="1:4" x14ac:dyDescent="0.25">
      <c r="A49" s="5" t="s">
        <v>198</v>
      </c>
      <c r="B49">
        <v>2000000</v>
      </c>
      <c r="C49" s="5">
        <v>-17.617626999999999</v>
      </c>
      <c r="D49" s="5">
        <v>-50.714194999999997</v>
      </c>
    </row>
    <row r="50" spans="1:4" x14ac:dyDescent="0.25">
      <c r="A50" s="5" t="s">
        <v>202</v>
      </c>
      <c r="B50">
        <v>1000000</v>
      </c>
      <c r="C50" s="5">
        <v>-22.23978</v>
      </c>
      <c r="D50" s="5">
        <v>-48.474679999999999</v>
      </c>
    </row>
    <row r="51" spans="1:4" x14ac:dyDescent="0.25">
      <c r="A51" s="5" t="s">
        <v>63</v>
      </c>
      <c r="B51">
        <v>3000000</v>
      </c>
      <c r="C51" s="5">
        <v>-18.769309</v>
      </c>
      <c r="D51" s="5">
        <v>-52.919865000000001</v>
      </c>
    </row>
    <row r="52" spans="1:4" x14ac:dyDescent="0.25">
      <c r="A52" s="5" t="s">
        <v>205</v>
      </c>
      <c r="B52">
        <v>2000000</v>
      </c>
      <c r="C52" s="5">
        <v>-23.682300000000001</v>
      </c>
      <c r="D52" s="5">
        <v>-50.414000000000001</v>
      </c>
    </row>
    <row r="53" spans="1:4" x14ac:dyDescent="0.25">
      <c r="A53" s="5" t="s">
        <v>206</v>
      </c>
      <c r="B53">
        <v>2000000</v>
      </c>
      <c r="C53" s="5">
        <v>-22.165600000000001</v>
      </c>
      <c r="D53" s="5">
        <v>-50.483899999999998</v>
      </c>
    </row>
    <row r="54" spans="1:4" x14ac:dyDescent="0.25">
      <c r="A54" s="8" t="s">
        <v>208</v>
      </c>
      <c r="B54">
        <v>1000000</v>
      </c>
      <c r="C54" s="5">
        <v>-25.5563</v>
      </c>
      <c r="D54" s="5">
        <v>-49.372599999999998</v>
      </c>
    </row>
    <row r="55" spans="1:4" x14ac:dyDescent="0.25">
      <c r="A55" s="5" t="s">
        <v>64</v>
      </c>
      <c r="B55">
        <v>3000000</v>
      </c>
      <c r="C55" s="5">
        <v>-20.529900000000001</v>
      </c>
      <c r="D55" s="5">
        <v>-51.247</v>
      </c>
    </row>
    <row r="56" spans="1:4" x14ac:dyDescent="0.25">
      <c r="A56" s="5" t="s">
        <v>209</v>
      </c>
      <c r="B56">
        <v>2000000</v>
      </c>
      <c r="C56" s="5">
        <v>-21.165800000000001</v>
      </c>
      <c r="D56" s="5">
        <v>-51.469700000000003</v>
      </c>
    </row>
    <row r="57" spans="1:4" x14ac:dyDescent="0.25">
      <c r="A57" s="8" t="s">
        <v>213</v>
      </c>
      <c r="B57">
        <v>1000000</v>
      </c>
      <c r="C57" s="5">
        <v>-21.62772</v>
      </c>
      <c r="D57" s="5">
        <v>-48.830480000000001</v>
      </c>
    </row>
    <row r="58" spans="1:4" x14ac:dyDescent="0.25">
      <c r="A58" s="5" t="s">
        <v>215</v>
      </c>
      <c r="B58">
        <v>1000000</v>
      </c>
      <c r="C58" s="5">
        <v>-4.2872250000000003</v>
      </c>
      <c r="D58" s="5">
        <v>-42.988540999999998</v>
      </c>
    </row>
    <row r="59" spans="1:4" x14ac:dyDescent="0.25">
      <c r="A59" s="5" t="s">
        <v>221</v>
      </c>
      <c r="B59">
        <v>1000000</v>
      </c>
      <c r="C59" s="5">
        <v>-10.5626</v>
      </c>
      <c r="D59" s="5">
        <v>-37.038699999999999</v>
      </c>
    </row>
    <row r="60" spans="1:4" x14ac:dyDescent="0.25">
      <c r="A60" s="5" t="s">
        <v>222</v>
      </c>
      <c r="B60">
        <v>1000000</v>
      </c>
      <c r="C60" s="5">
        <v>-17.2546</v>
      </c>
      <c r="D60" s="5">
        <v>-47.689700000000002</v>
      </c>
    </row>
    <row r="61" spans="1:4" x14ac:dyDescent="0.25">
      <c r="A61" s="8" t="s">
        <v>223</v>
      </c>
      <c r="B61">
        <v>1000000</v>
      </c>
      <c r="C61" s="5">
        <v>-22.462157000000001</v>
      </c>
      <c r="D61" s="5">
        <v>-53.299047999999999</v>
      </c>
    </row>
    <row r="62" spans="1:4" x14ac:dyDescent="0.25">
      <c r="A62" s="5" t="s">
        <v>224</v>
      </c>
      <c r="B62">
        <v>1000000</v>
      </c>
      <c r="C62" s="5">
        <v>-19.348400000000002</v>
      </c>
      <c r="D62" s="5">
        <v>-40.035800000000002</v>
      </c>
    </row>
    <row r="63" spans="1:4" x14ac:dyDescent="0.25">
      <c r="A63" s="5" t="s">
        <v>226</v>
      </c>
      <c r="B63">
        <v>1000000</v>
      </c>
      <c r="C63" s="5">
        <v>-23.5289</v>
      </c>
      <c r="D63" s="5">
        <v>-48.937800000000003</v>
      </c>
    </row>
    <row r="64" spans="1:4" x14ac:dyDescent="0.25">
      <c r="A64" s="5" t="s">
        <v>227</v>
      </c>
      <c r="B64">
        <v>1000000</v>
      </c>
      <c r="C64" s="5">
        <v>-21.200780000000002</v>
      </c>
      <c r="D64" s="5">
        <v>-48.041330000000002</v>
      </c>
    </row>
    <row r="65" spans="1:4" x14ac:dyDescent="0.25">
      <c r="A65" s="5" t="s">
        <v>228</v>
      </c>
      <c r="B65">
        <v>1000000</v>
      </c>
      <c r="C65" s="5">
        <v>-24.196375</v>
      </c>
      <c r="D65" s="5">
        <v>-50.274915999999997</v>
      </c>
    </row>
    <row r="66" spans="1:4" x14ac:dyDescent="0.25">
      <c r="A66" s="5" t="s">
        <v>232</v>
      </c>
      <c r="B66">
        <v>1000000</v>
      </c>
      <c r="C66" s="5">
        <v>-6.9447000000000001</v>
      </c>
      <c r="D66" s="5">
        <v>-35.129899999999999</v>
      </c>
    </row>
    <row r="67" spans="1:4" x14ac:dyDescent="0.25">
      <c r="A67" s="5" t="s">
        <v>235</v>
      </c>
      <c r="B67">
        <v>1000000</v>
      </c>
      <c r="C67" s="5">
        <v>-21.211707000000001</v>
      </c>
      <c r="D67" s="5">
        <v>-49.741874000000003</v>
      </c>
    </row>
    <row r="68" spans="1:4" x14ac:dyDescent="0.25">
      <c r="A68" s="5" t="s">
        <v>237</v>
      </c>
      <c r="B68">
        <v>1000000</v>
      </c>
      <c r="C68" s="5">
        <v>-21.965499999999999</v>
      </c>
      <c r="D68" s="5">
        <v>-48.087800000000001</v>
      </c>
    </row>
    <row r="69" spans="1:4" x14ac:dyDescent="0.25">
      <c r="A69" s="8" t="s">
        <v>238</v>
      </c>
      <c r="B69">
        <v>2000000</v>
      </c>
      <c r="C69" s="5">
        <v>-17.331188999999998</v>
      </c>
      <c r="D69" s="5">
        <v>-50.494298000000001</v>
      </c>
    </row>
    <row r="70" spans="1:4" x14ac:dyDescent="0.25">
      <c r="A70" s="5" t="s">
        <v>239</v>
      </c>
      <c r="B70">
        <v>1000000</v>
      </c>
      <c r="C70" s="5">
        <v>-22.798290000000001</v>
      </c>
      <c r="D70" s="5">
        <v>-52.990789999999997</v>
      </c>
    </row>
    <row r="71" spans="1:4" x14ac:dyDescent="0.25">
      <c r="A71" s="5" t="s">
        <v>73</v>
      </c>
      <c r="B71">
        <v>3000000</v>
      </c>
      <c r="C71" s="5">
        <v>-20.749300000000002</v>
      </c>
      <c r="D71" s="5">
        <v>-49.7179</v>
      </c>
    </row>
    <row r="72" spans="1:4" x14ac:dyDescent="0.25">
      <c r="A72" s="5" t="s">
        <v>240</v>
      </c>
      <c r="B72">
        <v>2000000</v>
      </c>
      <c r="C72" s="5">
        <v>-23.0944</v>
      </c>
      <c r="D72" s="5">
        <v>-51.642299999999999</v>
      </c>
    </row>
    <row r="73" spans="1:4" x14ac:dyDescent="0.25">
      <c r="A73" s="5" t="s">
        <v>241</v>
      </c>
      <c r="B73">
        <v>1000000</v>
      </c>
      <c r="C73" s="5">
        <v>-15.397244000000001</v>
      </c>
      <c r="D73" s="5">
        <v>-57.949205999999997</v>
      </c>
    </row>
    <row r="74" spans="1:4" x14ac:dyDescent="0.25">
      <c r="A74" s="5" t="s">
        <v>242</v>
      </c>
      <c r="B74">
        <v>1000000</v>
      </c>
      <c r="C74" s="5">
        <v>-15.7044</v>
      </c>
      <c r="D74" s="5">
        <v>-58.125300000000003</v>
      </c>
    </row>
    <row r="75" spans="1:4" x14ac:dyDescent="0.25">
      <c r="A75" s="8" t="s">
        <v>246</v>
      </c>
      <c r="B75">
        <v>1000000</v>
      </c>
      <c r="C75" s="5">
        <v>-21.8231</v>
      </c>
      <c r="D75" s="5">
        <v>-41.275500000000001</v>
      </c>
    </row>
    <row r="76" spans="1:4" x14ac:dyDescent="0.25">
      <c r="A76" s="5" t="s">
        <v>76</v>
      </c>
      <c r="B76">
        <v>3000000</v>
      </c>
      <c r="C76" s="5">
        <v>-9.1962980000000005</v>
      </c>
      <c r="D76" s="5">
        <v>-48.140067000000002</v>
      </c>
    </row>
    <row r="77" spans="1:4" x14ac:dyDescent="0.25">
      <c r="A77" s="5" t="s">
        <v>248</v>
      </c>
      <c r="B77">
        <v>1000000</v>
      </c>
      <c r="C77" s="5">
        <v>-10.292256</v>
      </c>
      <c r="D77" s="5">
        <v>-36.499478000000003</v>
      </c>
    </row>
    <row r="78" spans="1:4" x14ac:dyDescent="0.25">
      <c r="A78" s="5" t="s">
        <v>77</v>
      </c>
      <c r="B78">
        <v>4000000</v>
      </c>
      <c r="C78" s="5">
        <v>-17.537500000000001</v>
      </c>
      <c r="D78" s="5">
        <v>-52.261299999999999</v>
      </c>
    </row>
    <row r="79" spans="1:4" x14ac:dyDescent="0.25">
      <c r="A79" s="5" t="s">
        <v>79</v>
      </c>
      <c r="B79">
        <v>5500000</v>
      </c>
      <c r="C79" s="5">
        <v>-18.469052000000001</v>
      </c>
      <c r="D79" s="5">
        <v>-52.601844</v>
      </c>
    </row>
    <row r="80" spans="1:4" x14ac:dyDescent="0.25">
      <c r="A80" s="5" t="s">
        <v>253</v>
      </c>
      <c r="B80">
        <v>1000000</v>
      </c>
      <c r="C80" s="5">
        <v>-22.663650000000001</v>
      </c>
      <c r="D80" s="5">
        <v>-50.216679999999997</v>
      </c>
    </row>
    <row r="81" spans="1:4" x14ac:dyDescent="0.25">
      <c r="A81" s="5" t="s">
        <v>3</v>
      </c>
      <c r="B81">
        <v>5000000</v>
      </c>
      <c r="C81" s="5">
        <v>-22.639700000000001</v>
      </c>
      <c r="D81" s="5">
        <v>-47.68439</v>
      </c>
    </row>
    <row r="82" spans="1:4" x14ac:dyDescent="0.25">
      <c r="A82" s="5" t="s">
        <v>86</v>
      </c>
      <c r="B82">
        <v>4000000</v>
      </c>
      <c r="C82" s="5">
        <v>-17.695799999999998</v>
      </c>
      <c r="D82" s="5">
        <v>-51.625</v>
      </c>
    </row>
    <row r="83" spans="1:4" x14ac:dyDescent="0.25">
      <c r="A83" s="5" t="s">
        <v>95</v>
      </c>
      <c r="B83">
        <v>3000000</v>
      </c>
      <c r="C83" s="5">
        <v>-23.855899999999998</v>
      </c>
      <c r="D83" s="5">
        <v>-51.889600000000002</v>
      </c>
    </row>
    <row r="84" spans="1:4" x14ac:dyDescent="0.25">
      <c r="A84" s="8" t="s">
        <v>262</v>
      </c>
      <c r="B84">
        <v>1000000</v>
      </c>
      <c r="C84" s="5">
        <v>-8.5335699999999992</v>
      </c>
      <c r="D84" s="5">
        <v>-35.386155000000002</v>
      </c>
    </row>
    <row r="85" spans="1:4" x14ac:dyDescent="0.25">
      <c r="A85" s="5" t="s">
        <v>263</v>
      </c>
      <c r="B85">
        <v>1000000</v>
      </c>
      <c r="C85" s="5">
        <v>-15.940944999999999</v>
      </c>
      <c r="D85" s="5">
        <v>-51.353149999999999</v>
      </c>
    </row>
    <row r="86" spans="1:4" x14ac:dyDescent="0.25">
      <c r="A86" s="5" t="s">
        <v>264</v>
      </c>
      <c r="B86">
        <v>1000000</v>
      </c>
      <c r="C86" s="5">
        <v>-17.844747000000002</v>
      </c>
      <c r="D86" s="5">
        <v>-45.872146999999998</v>
      </c>
    </row>
    <row r="87" spans="1:4" x14ac:dyDescent="0.25">
      <c r="A87" s="5" t="s">
        <v>265</v>
      </c>
      <c r="B87">
        <v>2000000</v>
      </c>
      <c r="C87" s="5">
        <v>-22.914076999999999</v>
      </c>
      <c r="D87" s="5">
        <v>-49.000186999999997</v>
      </c>
    </row>
    <row r="88" spans="1:4" x14ac:dyDescent="0.25">
      <c r="A88" s="8" t="s">
        <v>267</v>
      </c>
      <c r="B88">
        <v>1000000</v>
      </c>
      <c r="C88" s="5">
        <v>-23.2392</v>
      </c>
      <c r="D88" s="5">
        <v>-47.614100000000001</v>
      </c>
    </row>
    <row r="89" spans="1:4" x14ac:dyDescent="0.25">
      <c r="A89" s="5" t="s">
        <v>271</v>
      </c>
      <c r="B89">
        <v>1000000</v>
      </c>
      <c r="C89" s="5">
        <v>-16.183033999999999</v>
      </c>
      <c r="D89" s="5">
        <v>-39.328853000000002</v>
      </c>
    </row>
    <row r="90" spans="1:4" x14ac:dyDescent="0.25">
      <c r="A90" s="5" t="s">
        <v>109</v>
      </c>
      <c r="B90">
        <v>3000000</v>
      </c>
      <c r="C90" s="5">
        <v>-17.822500000000002</v>
      </c>
      <c r="D90" s="5">
        <v>-50.539299999999997</v>
      </c>
    </row>
    <row r="91" spans="1:4" x14ac:dyDescent="0.25">
      <c r="A91" s="5" t="s">
        <v>272</v>
      </c>
      <c r="B91">
        <v>3000000</v>
      </c>
      <c r="C91" s="5">
        <v>-21.998999999999999</v>
      </c>
      <c r="D91" s="5">
        <v>-53.424999999999997</v>
      </c>
    </row>
    <row r="92" spans="1:4" x14ac:dyDescent="0.25">
      <c r="A92" s="5" t="s">
        <v>273</v>
      </c>
      <c r="B92">
        <v>1000000</v>
      </c>
      <c r="C92" s="5">
        <v>-21.086099999999998</v>
      </c>
      <c r="D92" s="5">
        <v>-48.034300000000002</v>
      </c>
    </row>
    <row r="93" spans="1:4" x14ac:dyDescent="0.25">
      <c r="A93" s="5" t="s">
        <v>276</v>
      </c>
      <c r="B93">
        <v>5500000</v>
      </c>
      <c r="C93" s="5">
        <v>-21.588429999999999</v>
      </c>
      <c r="D93" s="5">
        <v>-54.246975999999997</v>
      </c>
    </row>
    <row r="94" spans="1:4" x14ac:dyDescent="0.25">
      <c r="A94" s="5" t="s">
        <v>278</v>
      </c>
      <c r="B94">
        <v>1000000</v>
      </c>
      <c r="C94" s="5">
        <v>-17.456948000000001</v>
      </c>
      <c r="D94" s="5">
        <v>-40.140842999999997</v>
      </c>
    </row>
    <row r="95" spans="1:4" x14ac:dyDescent="0.25">
      <c r="A95" s="5" t="s">
        <v>280</v>
      </c>
      <c r="B95">
        <v>1000000</v>
      </c>
      <c r="C95" s="5">
        <v>-23.044248</v>
      </c>
      <c r="D95" s="5">
        <v>-49.257325000000002</v>
      </c>
    </row>
    <row r="96" spans="1:4" x14ac:dyDescent="0.25">
      <c r="A96" s="5" t="s">
        <v>287</v>
      </c>
      <c r="B96">
        <v>1000000</v>
      </c>
      <c r="C96" s="5">
        <v>-23.542400000000001</v>
      </c>
      <c r="D96" s="5">
        <v>-52.650100000000002</v>
      </c>
    </row>
    <row r="97" spans="1:4" x14ac:dyDescent="0.25">
      <c r="A97" s="5" t="s">
        <v>290</v>
      </c>
      <c r="B97">
        <v>3000000</v>
      </c>
      <c r="C97" s="5">
        <v>-18.774408000000001</v>
      </c>
      <c r="D97" s="5">
        <v>-50.232712999999997</v>
      </c>
    </row>
    <row r="98" spans="1:4" x14ac:dyDescent="0.25">
      <c r="A98" s="5" t="s">
        <v>292</v>
      </c>
      <c r="B98">
        <v>3000000</v>
      </c>
      <c r="C98" s="5">
        <v>-24.893000000000001</v>
      </c>
      <c r="D98" s="5">
        <v>-52.203000000000003</v>
      </c>
    </row>
    <row r="99" spans="1:4" x14ac:dyDescent="0.25">
      <c r="A99" s="8" t="s">
        <v>297</v>
      </c>
      <c r="B99">
        <v>2000000</v>
      </c>
      <c r="C99" s="5">
        <v>-21.174952999999999</v>
      </c>
      <c r="D99" s="5">
        <v>-48.118772</v>
      </c>
    </row>
    <row r="100" spans="1:4" x14ac:dyDescent="0.25">
      <c r="A100" s="5" t="s">
        <v>300</v>
      </c>
      <c r="B100">
        <v>1000000</v>
      </c>
      <c r="C100" s="5">
        <v>-22.908300000000001</v>
      </c>
      <c r="D100" s="5">
        <v>-50.278700000000001</v>
      </c>
    </row>
    <row r="101" spans="1:4" x14ac:dyDescent="0.25">
      <c r="A101" s="5" t="s">
        <v>305</v>
      </c>
      <c r="B101">
        <v>2000000</v>
      </c>
      <c r="C101" s="5">
        <v>-15.199759</v>
      </c>
      <c r="D101" s="5">
        <v>-43.884228</v>
      </c>
    </row>
    <row r="102" spans="1:4" x14ac:dyDescent="0.25">
      <c r="A102" s="8" t="s">
        <v>310</v>
      </c>
      <c r="B102">
        <v>3000000</v>
      </c>
      <c r="C102" s="5">
        <v>-18.505199999999999</v>
      </c>
      <c r="D102" s="5">
        <v>-49.654290000000003</v>
      </c>
    </row>
    <row r="103" spans="1:4" x14ac:dyDescent="0.25">
      <c r="A103" s="8" t="s">
        <v>313</v>
      </c>
      <c r="B103">
        <v>1000000</v>
      </c>
      <c r="C103" s="5">
        <v>-7.5078199999999997</v>
      </c>
      <c r="D103" s="5">
        <v>-34.877752999999998</v>
      </c>
    </row>
    <row r="104" spans="1:4" x14ac:dyDescent="0.25">
      <c r="A104" s="5" t="s">
        <v>314</v>
      </c>
      <c r="B104">
        <v>1000000</v>
      </c>
      <c r="C104" s="5">
        <v>-10.606209</v>
      </c>
      <c r="D104" s="5">
        <v>-37.061368999999999</v>
      </c>
    </row>
    <row r="105" spans="1:4" x14ac:dyDescent="0.25">
      <c r="A105" s="5" t="s">
        <v>315</v>
      </c>
      <c r="B105">
        <v>1000000</v>
      </c>
      <c r="C105" s="5">
        <v>-4.6236119999999996</v>
      </c>
      <c r="D105" s="5">
        <v>-43.612851999999997</v>
      </c>
    </row>
    <row r="106" spans="1:4" x14ac:dyDescent="0.25">
      <c r="A106" s="5" t="s">
        <v>316</v>
      </c>
      <c r="B106">
        <v>1000000</v>
      </c>
      <c r="C106" s="5">
        <v>-23.091460000000001</v>
      </c>
      <c r="D106" s="5">
        <v>-49.167219000000003</v>
      </c>
    </row>
    <row r="107" spans="1:4" x14ac:dyDescent="0.25">
      <c r="A107" s="8" t="s">
        <v>318</v>
      </c>
      <c r="B107">
        <v>2000000</v>
      </c>
      <c r="C107" s="5">
        <v>-19.393934000000002</v>
      </c>
      <c r="D107" s="5">
        <v>-47.823005000000002</v>
      </c>
    </row>
    <row r="108" spans="1:4" x14ac:dyDescent="0.25">
      <c r="A108" s="5" t="s">
        <v>319</v>
      </c>
      <c r="B108">
        <v>3000000</v>
      </c>
      <c r="C108" s="5">
        <v>-22.557886</v>
      </c>
      <c r="D108" s="5">
        <v>-51.827412000000002</v>
      </c>
    </row>
    <row r="109" spans="1:4" x14ac:dyDescent="0.25">
      <c r="A109" s="8" t="s">
        <v>324</v>
      </c>
      <c r="B109">
        <v>1000000</v>
      </c>
      <c r="C109" s="5">
        <v>-14.416294000000001</v>
      </c>
      <c r="D109" s="5">
        <v>-49.065505999999999</v>
      </c>
    </row>
    <row r="110" spans="1:4" x14ac:dyDescent="0.25">
      <c r="A110" s="8" t="s">
        <v>325</v>
      </c>
      <c r="B110">
        <v>5500000</v>
      </c>
      <c r="C110" s="5">
        <v>-21.636869999999998</v>
      </c>
      <c r="D110" s="5">
        <v>-49.837130000000002</v>
      </c>
    </row>
    <row r="111" spans="1:4" x14ac:dyDescent="0.25">
      <c r="A111" s="5" t="s">
        <v>328</v>
      </c>
      <c r="B111">
        <v>1000000</v>
      </c>
      <c r="C111" s="5">
        <v>-10.508938000000001</v>
      </c>
      <c r="D111" s="5">
        <v>-36.974266</v>
      </c>
    </row>
    <row r="112" spans="1:4" x14ac:dyDescent="0.25">
      <c r="A112" s="5" t="s">
        <v>329</v>
      </c>
      <c r="B112">
        <v>1000000</v>
      </c>
      <c r="C112" s="5">
        <v>-17.100166999999999</v>
      </c>
      <c r="D112" s="5">
        <v>-46.634917000000002</v>
      </c>
    </row>
    <row r="113" spans="1:4" x14ac:dyDescent="0.25">
      <c r="A113" s="5" t="s">
        <v>333</v>
      </c>
      <c r="B113">
        <v>2000000</v>
      </c>
      <c r="C113" s="5">
        <v>-14.979100000000001</v>
      </c>
      <c r="D113" s="5">
        <v>-49.5396</v>
      </c>
    </row>
    <row r="114" spans="1:4" x14ac:dyDescent="0.25">
      <c r="A114" s="5" t="s">
        <v>335</v>
      </c>
      <c r="B114">
        <v>1000000</v>
      </c>
      <c r="C114" s="5">
        <v>-17.731729999999999</v>
      </c>
      <c r="D114" s="5">
        <v>-45.833829999999999</v>
      </c>
    </row>
    <row r="115" spans="1:4" x14ac:dyDescent="0.25">
      <c r="A115" s="5" t="s">
        <v>337</v>
      </c>
      <c r="B115">
        <v>1000000</v>
      </c>
      <c r="C115" s="5">
        <v>-22.48</v>
      </c>
      <c r="D115" s="5">
        <v>-54.409100000000002</v>
      </c>
    </row>
    <row r="116" spans="1:4" x14ac:dyDescent="0.25">
      <c r="A116" s="5" t="s">
        <v>343</v>
      </c>
      <c r="B116">
        <v>2000000</v>
      </c>
      <c r="C116" s="5">
        <v>-22.412099999999999</v>
      </c>
      <c r="D116" s="5">
        <v>-46.805300000000003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C553-CF86-48AC-8715-D55D3B6FFAB4}">
  <dimension ref="A1:G221"/>
  <sheetViews>
    <sheetView tabSelected="1" workbookViewId="0">
      <selection activeCell="G1" sqref="G1:G1048576"/>
    </sheetView>
  </sheetViews>
  <sheetFormatPr defaultRowHeight="15" x14ac:dyDescent="0.25"/>
  <cols>
    <col min="1" max="2" width="32.85546875" customWidth="1"/>
    <col min="3" max="4" width="8.7109375" customWidth="1"/>
    <col min="7" max="7" width="54.42578125" customWidth="1"/>
  </cols>
  <sheetData>
    <row r="1" spans="1:7" x14ac:dyDescent="0.25">
      <c r="A1" s="6" t="s">
        <v>0</v>
      </c>
      <c r="B1" s="7" t="s">
        <v>1</v>
      </c>
      <c r="C1" t="s">
        <v>346</v>
      </c>
      <c r="D1" t="s">
        <v>347</v>
      </c>
      <c r="G1" s="12"/>
    </row>
    <row r="2" spans="1:7" x14ac:dyDescent="0.25">
      <c r="A2" t="s">
        <v>6</v>
      </c>
      <c r="B2">
        <v>3000000</v>
      </c>
      <c r="C2" s="11">
        <v>-21.927530000000001</v>
      </c>
      <c r="D2" s="11">
        <v>-46.924810000000001</v>
      </c>
      <c r="G2" s="13"/>
    </row>
    <row r="3" spans="1:7" x14ac:dyDescent="0.25">
      <c r="A3" t="s">
        <v>7</v>
      </c>
      <c r="B3">
        <v>3000000</v>
      </c>
      <c r="C3" s="5">
        <v>-21.885300000000001</v>
      </c>
      <c r="D3" s="5">
        <v>-47.305900000000001</v>
      </c>
      <c r="G3" s="13"/>
    </row>
    <row r="4" spans="1:7" x14ac:dyDescent="0.25">
      <c r="A4" t="s">
        <v>8</v>
      </c>
      <c r="B4">
        <v>5000000</v>
      </c>
      <c r="C4" s="5">
        <v>-22.392628999999999</v>
      </c>
      <c r="D4" s="5">
        <v>-53.885371999999997</v>
      </c>
      <c r="G4" s="13"/>
    </row>
    <row r="5" spans="1:7" x14ac:dyDescent="0.25">
      <c r="A5" t="s">
        <v>137</v>
      </c>
      <c r="B5">
        <v>2000000</v>
      </c>
      <c r="C5" s="5">
        <v>-19.253299999999999</v>
      </c>
      <c r="D5" s="5">
        <v>-44.981400000000001</v>
      </c>
      <c r="G5" s="13"/>
    </row>
    <row r="6" spans="1:7" x14ac:dyDescent="0.25">
      <c r="A6" t="s">
        <v>138</v>
      </c>
      <c r="B6">
        <v>2000000</v>
      </c>
      <c r="C6" s="5">
        <v>-22.745999999999999</v>
      </c>
      <c r="D6" s="5">
        <v>-50.601500000000001</v>
      </c>
      <c r="G6" s="13"/>
    </row>
    <row r="7" spans="1:7" x14ac:dyDescent="0.25">
      <c r="A7" t="s">
        <v>139</v>
      </c>
      <c r="B7">
        <v>1000000</v>
      </c>
      <c r="C7" s="5">
        <v>-20.2364</v>
      </c>
      <c r="D7" s="5">
        <v>-50.345300000000002</v>
      </c>
      <c r="G7" s="13"/>
    </row>
    <row r="8" spans="1:7" x14ac:dyDescent="0.25">
      <c r="A8" t="s">
        <v>140</v>
      </c>
      <c r="B8">
        <v>1000000</v>
      </c>
      <c r="C8" s="5">
        <v>-18.4557</v>
      </c>
      <c r="D8" s="5">
        <v>-39.946399999999997</v>
      </c>
      <c r="G8" s="13"/>
    </row>
    <row r="9" spans="1:7" x14ac:dyDescent="0.25">
      <c r="A9" t="s">
        <v>110</v>
      </c>
      <c r="B9">
        <v>2000000</v>
      </c>
      <c r="C9" s="5">
        <v>-8.2262710000000006</v>
      </c>
      <c r="D9" s="5">
        <v>-35.275554</v>
      </c>
      <c r="G9" s="13"/>
    </row>
    <row r="10" spans="1:7" x14ac:dyDescent="0.25">
      <c r="A10" t="s">
        <v>141</v>
      </c>
      <c r="B10">
        <v>2000000</v>
      </c>
      <c r="C10" s="5">
        <v>-20.087299999999999</v>
      </c>
      <c r="D10" s="5">
        <v>-51.298999999999999</v>
      </c>
      <c r="G10" s="13"/>
    </row>
    <row r="11" spans="1:7" x14ac:dyDescent="0.25">
      <c r="A11" t="s">
        <v>142</v>
      </c>
      <c r="B11">
        <v>2000000</v>
      </c>
      <c r="C11" s="5">
        <v>-21.865100000000002</v>
      </c>
      <c r="D11" s="5">
        <v>-51.258699999999997</v>
      </c>
      <c r="G11" s="13"/>
    </row>
    <row r="12" spans="1:7" x14ac:dyDescent="0.25">
      <c r="A12" t="s">
        <v>9</v>
      </c>
      <c r="B12">
        <v>5500000</v>
      </c>
      <c r="C12" s="5">
        <v>-20.480029999999999</v>
      </c>
      <c r="D12" s="5">
        <v>-47.874400000000001</v>
      </c>
      <c r="G12" s="13"/>
    </row>
    <row r="13" spans="1:7" x14ac:dyDescent="0.25">
      <c r="A13" t="s">
        <v>143</v>
      </c>
      <c r="B13">
        <v>2000000</v>
      </c>
      <c r="C13" s="5">
        <v>-21.589289999999998</v>
      </c>
      <c r="D13" s="5">
        <v>-51.455970000000001</v>
      </c>
      <c r="G13" s="13"/>
    </row>
    <row r="14" spans="1:7" x14ac:dyDescent="0.25">
      <c r="A14" t="s">
        <v>10</v>
      </c>
      <c r="B14">
        <v>3000000</v>
      </c>
      <c r="C14" s="5">
        <v>-22.873699999999999</v>
      </c>
      <c r="D14" s="5">
        <v>-51.412100000000002</v>
      </c>
      <c r="G14" s="13"/>
    </row>
    <row r="15" spans="1:7" x14ac:dyDescent="0.25">
      <c r="A15" t="s">
        <v>11</v>
      </c>
      <c r="B15">
        <v>4000000</v>
      </c>
      <c r="C15" s="5">
        <v>-22.930099999999999</v>
      </c>
      <c r="D15" s="5">
        <v>-51.950699999999998</v>
      </c>
      <c r="G15" s="13"/>
    </row>
    <row r="16" spans="1:7" x14ac:dyDescent="0.25">
      <c r="A16" t="s">
        <v>12</v>
      </c>
      <c r="B16">
        <v>4000000</v>
      </c>
      <c r="C16" s="5">
        <v>-22.6509</v>
      </c>
      <c r="D16" s="5">
        <v>-51.804099999999998</v>
      </c>
      <c r="G16" s="13"/>
    </row>
    <row r="17" spans="1:7" x14ac:dyDescent="0.25">
      <c r="A17" t="s">
        <v>145</v>
      </c>
      <c r="B17">
        <v>2000000</v>
      </c>
      <c r="C17" s="5">
        <v>-18.441099999999999</v>
      </c>
      <c r="D17" s="5">
        <v>-49.190100000000001</v>
      </c>
      <c r="G17" s="13"/>
    </row>
    <row r="18" spans="1:7" x14ac:dyDescent="0.25">
      <c r="A18" t="s">
        <v>14</v>
      </c>
      <c r="B18">
        <v>3000000</v>
      </c>
      <c r="C18" s="5">
        <v>-21.00234</v>
      </c>
      <c r="D18" s="5">
        <v>-48.285310000000003</v>
      </c>
      <c r="G18" s="13"/>
    </row>
    <row r="19" spans="1:7" x14ac:dyDescent="0.25">
      <c r="A19" t="s">
        <v>15</v>
      </c>
      <c r="B19">
        <v>4000000</v>
      </c>
      <c r="C19" s="5">
        <v>-22.035212000000001</v>
      </c>
      <c r="D19" s="5">
        <v>-53.844486000000003</v>
      </c>
      <c r="G19" s="13"/>
    </row>
    <row r="20" spans="1:7" x14ac:dyDescent="0.25">
      <c r="A20" t="s">
        <v>147</v>
      </c>
      <c r="B20">
        <v>1000000</v>
      </c>
      <c r="C20" s="5">
        <v>-18.662357</v>
      </c>
      <c r="D20" s="5">
        <v>-48.659761000000003</v>
      </c>
      <c r="G20" s="13"/>
    </row>
    <row r="21" spans="1:7" x14ac:dyDescent="0.25">
      <c r="A21" t="s">
        <v>148</v>
      </c>
      <c r="B21">
        <v>1000000</v>
      </c>
      <c r="C21" s="5">
        <v>-22.150700000000001</v>
      </c>
      <c r="D21" s="5">
        <v>-51.028599999999997</v>
      </c>
      <c r="G21" s="13"/>
    </row>
    <row r="22" spans="1:7" x14ac:dyDescent="0.25">
      <c r="A22" t="s">
        <v>149</v>
      </c>
      <c r="B22">
        <v>2000000</v>
      </c>
      <c r="C22" s="5">
        <v>-22.914076999999999</v>
      </c>
      <c r="D22" s="5">
        <v>-49.000186999999997</v>
      </c>
      <c r="G22" s="13"/>
    </row>
    <row r="23" spans="1:7" x14ac:dyDescent="0.25">
      <c r="A23" t="s">
        <v>150</v>
      </c>
      <c r="B23">
        <v>2000000</v>
      </c>
      <c r="C23" s="5">
        <v>-22.011500000000002</v>
      </c>
      <c r="D23" s="5">
        <v>-47.445</v>
      </c>
      <c r="G23" s="13"/>
    </row>
    <row r="24" spans="1:7" x14ac:dyDescent="0.25">
      <c r="A24" t="s">
        <v>17</v>
      </c>
      <c r="B24">
        <v>3000000</v>
      </c>
      <c r="C24" s="5">
        <v>-23.097300000000001</v>
      </c>
      <c r="D24" s="5">
        <v>-50.348700000000001</v>
      </c>
      <c r="G24" s="13"/>
    </row>
    <row r="25" spans="1:7" x14ac:dyDescent="0.25">
      <c r="A25" t="s">
        <v>18</v>
      </c>
      <c r="B25">
        <v>5000000</v>
      </c>
      <c r="C25" s="5">
        <v>-22.625299999999999</v>
      </c>
      <c r="D25" s="5">
        <v>-48.756799999999998</v>
      </c>
      <c r="G25" s="13"/>
    </row>
    <row r="26" spans="1:7" x14ac:dyDescent="0.25">
      <c r="A26" t="s">
        <v>19</v>
      </c>
      <c r="B26">
        <v>3000000</v>
      </c>
      <c r="C26" s="5">
        <v>-15.034599999999999</v>
      </c>
      <c r="D26" s="5">
        <v>-57.217500000000001</v>
      </c>
      <c r="G26" s="13"/>
    </row>
    <row r="27" spans="1:7" x14ac:dyDescent="0.25">
      <c r="A27" t="s">
        <v>20</v>
      </c>
      <c r="B27">
        <v>4000000</v>
      </c>
      <c r="C27" s="5">
        <v>-20.745100000000001</v>
      </c>
      <c r="D27" s="5">
        <v>-47.569800000000001</v>
      </c>
      <c r="G27" s="13"/>
    </row>
    <row r="28" spans="1:7" x14ac:dyDescent="0.25">
      <c r="A28" t="s">
        <v>21</v>
      </c>
      <c r="B28">
        <v>3000000</v>
      </c>
      <c r="C28" s="5">
        <v>-21.6005</v>
      </c>
      <c r="D28" s="5">
        <v>-49.54</v>
      </c>
      <c r="G28" s="13"/>
    </row>
    <row r="29" spans="1:7" x14ac:dyDescent="0.25">
      <c r="A29" t="s">
        <v>22</v>
      </c>
      <c r="B29">
        <v>4000000</v>
      </c>
      <c r="C29" s="5">
        <v>-21.000309999999999</v>
      </c>
      <c r="D29" s="5">
        <v>-48.021030000000003</v>
      </c>
      <c r="G29" s="13"/>
    </row>
    <row r="30" spans="1:7" x14ac:dyDescent="0.25">
      <c r="A30" t="s">
        <v>23</v>
      </c>
      <c r="B30">
        <v>4000000</v>
      </c>
      <c r="C30" s="5">
        <v>-20.941800000000001</v>
      </c>
      <c r="D30" s="5">
        <v>-48.08426</v>
      </c>
      <c r="G30" s="13"/>
    </row>
    <row r="31" spans="1:7" x14ac:dyDescent="0.25">
      <c r="A31" t="s">
        <v>24</v>
      </c>
      <c r="B31">
        <v>3000000</v>
      </c>
      <c r="C31" s="5">
        <v>-17.063880000000001</v>
      </c>
      <c r="D31" s="5">
        <v>-46.18</v>
      </c>
      <c r="G31" s="13"/>
    </row>
    <row r="32" spans="1:7" x14ac:dyDescent="0.25">
      <c r="A32" t="s">
        <v>111</v>
      </c>
      <c r="B32">
        <v>2000000</v>
      </c>
      <c r="C32" s="5">
        <v>-6.2329100000000004</v>
      </c>
      <c r="D32" s="5">
        <v>-35.21</v>
      </c>
      <c r="G32" s="13"/>
    </row>
    <row r="33" spans="1:7" x14ac:dyDescent="0.25">
      <c r="A33" t="s">
        <v>26</v>
      </c>
      <c r="B33">
        <v>3000000</v>
      </c>
      <c r="C33" s="5">
        <v>-20.2363</v>
      </c>
      <c r="D33" s="5">
        <v>-48.623600000000003</v>
      </c>
      <c r="G33" s="13"/>
    </row>
    <row r="34" spans="1:7" x14ac:dyDescent="0.25">
      <c r="A34" t="s">
        <v>27</v>
      </c>
      <c r="B34">
        <v>3000000</v>
      </c>
      <c r="C34" s="5">
        <v>-20.07611</v>
      </c>
      <c r="D34" s="5">
        <v>-45.565249999999999</v>
      </c>
      <c r="G34" s="13"/>
    </row>
    <row r="35" spans="1:7" x14ac:dyDescent="0.25">
      <c r="A35" t="s">
        <v>153</v>
      </c>
      <c r="B35">
        <v>2000000</v>
      </c>
      <c r="C35" s="5">
        <v>-22.161490000000001</v>
      </c>
      <c r="D35" s="5">
        <v>-47.25911</v>
      </c>
      <c r="G35" s="13"/>
    </row>
    <row r="36" spans="1:7" x14ac:dyDescent="0.25">
      <c r="A36" t="s">
        <v>28</v>
      </c>
      <c r="B36">
        <v>3000000</v>
      </c>
      <c r="C36" s="5">
        <v>-20.78265</v>
      </c>
      <c r="D36" s="5">
        <v>-48.201340000000002</v>
      </c>
      <c r="G36" s="13"/>
    </row>
    <row r="37" spans="1:7" x14ac:dyDescent="0.25">
      <c r="A37" t="s">
        <v>29</v>
      </c>
      <c r="B37">
        <v>3000000</v>
      </c>
      <c r="C37" s="5">
        <v>-21.485099999999999</v>
      </c>
      <c r="D37" s="5">
        <v>-54.511600000000001</v>
      </c>
      <c r="G37" s="13"/>
    </row>
    <row r="38" spans="1:7" x14ac:dyDescent="0.25">
      <c r="A38" t="s">
        <v>30</v>
      </c>
      <c r="B38">
        <v>5000000</v>
      </c>
      <c r="C38" s="5">
        <v>-21.517800000000001</v>
      </c>
      <c r="D38" s="5">
        <v>-54.711100000000002</v>
      </c>
      <c r="G38" s="13"/>
    </row>
    <row r="39" spans="1:7" x14ac:dyDescent="0.25">
      <c r="A39" t="s">
        <v>31</v>
      </c>
      <c r="B39">
        <v>5500000</v>
      </c>
      <c r="C39" s="5">
        <v>-21.109660000000002</v>
      </c>
      <c r="D39" s="5">
        <v>-48.077449999999999</v>
      </c>
      <c r="G39" s="13"/>
    </row>
    <row r="40" spans="1:7" x14ac:dyDescent="0.25">
      <c r="A40" t="s">
        <v>32</v>
      </c>
      <c r="B40">
        <v>5500000</v>
      </c>
      <c r="C40" s="5">
        <v>-20.615790000000001</v>
      </c>
      <c r="D40" s="5">
        <v>-48.000399999999999</v>
      </c>
      <c r="G40" s="13"/>
    </row>
    <row r="41" spans="1:7" x14ac:dyDescent="0.25">
      <c r="A41" t="s">
        <v>34</v>
      </c>
      <c r="B41">
        <v>3000000</v>
      </c>
      <c r="C41" s="5">
        <v>-18.287108</v>
      </c>
      <c r="D41" s="5">
        <v>-49.236919</v>
      </c>
      <c r="G41" s="13"/>
    </row>
    <row r="42" spans="1:7" x14ac:dyDescent="0.25">
      <c r="A42" t="s">
        <v>154</v>
      </c>
      <c r="B42">
        <v>1000000</v>
      </c>
      <c r="C42" s="5">
        <v>-21.489799999999999</v>
      </c>
      <c r="D42" s="5">
        <v>-51.029699999999998</v>
      </c>
      <c r="G42" s="13"/>
    </row>
    <row r="43" spans="1:7" x14ac:dyDescent="0.25">
      <c r="A43" t="s">
        <v>158</v>
      </c>
      <c r="B43">
        <v>2000000</v>
      </c>
      <c r="C43" s="5">
        <v>-17.687816000000002</v>
      </c>
      <c r="D43" s="5">
        <v>-49.986283</v>
      </c>
      <c r="G43" s="13"/>
    </row>
    <row r="44" spans="1:7" x14ac:dyDescent="0.25">
      <c r="A44" t="s">
        <v>112</v>
      </c>
      <c r="B44">
        <v>2000000</v>
      </c>
      <c r="C44" s="5">
        <v>-9.7938580000000002</v>
      </c>
      <c r="D44" s="5">
        <v>-36.048304000000002</v>
      </c>
      <c r="G44" s="13"/>
    </row>
    <row r="45" spans="1:7" x14ac:dyDescent="0.25">
      <c r="A45" t="s">
        <v>129</v>
      </c>
      <c r="B45">
        <v>1000000</v>
      </c>
      <c r="C45" s="5">
        <v>-9.1289219999999993</v>
      </c>
      <c r="D45" s="5">
        <v>-35.549142000000003</v>
      </c>
      <c r="G45" s="13"/>
    </row>
    <row r="46" spans="1:7" x14ac:dyDescent="0.25">
      <c r="A46" t="s">
        <v>37</v>
      </c>
      <c r="B46">
        <v>3000000</v>
      </c>
      <c r="C46" s="5">
        <v>-21.009640000000001</v>
      </c>
      <c r="D46" s="5">
        <v>-47.995280000000001</v>
      </c>
      <c r="G46" s="13"/>
    </row>
    <row r="47" spans="1:7" x14ac:dyDescent="0.25">
      <c r="A47" t="s">
        <v>132</v>
      </c>
      <c r="B47">
        <v>1000000</v>
      </c>
      <c r="C47" s="5">
        <v>-9.4553089999999997</v>
      </c>
      <c r="D47" s="5">
        <v>-35.850625000000001</v>
      </c>
      <c r="G47" s="13"/>
    </row>
    <row r="48" spans="1:7" x14ac:dyDescent="0.25">
      <c r="A48" t="s">
        <v>164</v>
      </c>
      <c r="B48">
        <v>2000000</v>
      </c>
      <c r="C48" s="5">
        <v>-17.928889999999999</v>
      </c>
      <c r="D48" s="5">
        <v>-49.232644000000001</v>
      </c>
      <c r="G48" s="13"/>
    </row>
    <row r="49" spans="1:7" x14ac:dyDescent="0.25">
      <c r="A49" t="s">
        <v>113</v>
      </c>
      <c r="B49">
        <v>2000000</v>
      </c>
      <c r="C49" s="5">
        <v>-7.4216100000000003</v>
      </c>
      <c r="D49" s="5">
        <v>-35.253599999999999</v>
      </c>
      <c r="G49" s="13"/>
    </row>
    <row r="50" spans="1:7" x14ac:dyDescent="0.25">
      <c r="A50" t="s">
        <v>166</v>
      </c>
      <c r="B50">
        <v>2000000</v>
      </c>
      <c r="C50" s="5">
        <v>-19.923793</v>
      </c>
      <c r="D50" s="5">
        <v>-49.153345999999999</v>
      </c>
      <c r="G50" s="13"/>
    </row>
    <row r="51" spans="1:7" x14ac:dyDescent="0.25">
      <c r="A51" t="s">
        <v>38</v>
      </c>
      <c r="B51">
        <v>3000000</v>
      </c>
      <c r="C51" s="5">
        <v>-20.751799999999999</v>
      </c>
      <c r="D51" s="5">
        <v>-47.4313</v>
      </c>
      <c r="G51" s="13"/>
    </row>
    <row r="52" spans="1:7" x14ac:dyDescent="0.25">
      <c r="A52" t="s">
        <v>167</v>
      </c>
      <c r="B52">
        <v>2000000</v>
      </c>
      <c r="C52" s="5">
        <v>-19.066046</v>
      </c>
      <c r="D52" s="5">
        <v>-50.372821999999999</v>
      </c>
      <c r="G52" s="13"/>
    </row>
    <row r="53" spans="1:7" x14ac:dyDescent="0.25">
      <c r="A53" t="s">
        <v>39</v>
      </c>
      <c r="B53">
        <v>5500000</v>
      </c>
      <c r="C53" s="5">
        <v>-21.805</v>
      </c>
      <c r="D53" s="5">
        <v>-50.215000000000003</v>
      </c>
      <c r="G53" s="13"/>
    </row>
    <row r="54" spans="1:7" x14ac:dyDescent="0.25">
      <c r="A54" t="s">
        <v>169</v>
      </c>
      <c r="B54">
        <v>1000000</v>
      </c>
      <c r="C54" s="5">
        <v>-21.7865</v>
      </c>
      <c r="D54" s="5">
        <v>-41.2346</v>
      </c>
      <c r="G54" s="13"/>
    </row>
    <row r="55" spans="1:7" x14ac:dyDescent="0.25">
      <c r="A55" t="s">
        <v>40</v>
      </c>
      <c r="B55">
        <v>4000000</v>
      </c>
      <c r="C55" s="5">
        <v>-22.473949999999999</v>
      </c>
      <c r="D55" s="5">
        <v>-50.788800000000002</v>
      </c>
      <c r="G55" s="13"/>
    </row>
    <row r="56" spans="1:7" x14ac:dyDescent="0.25">
      <c r="A56" t="s">
        <v>4</v>
      </c>
      <c r="B56">
        <v>4000000</v>
      </c>
      <c r="C56" s="5">
        <v>-22.532332</v>
      </c>
      <c r="D56" s="5">
        <v>-51.506509999999999</v>
      </c>
      <c r="G56" s="13"/>
    </row>
    <row r="57" spans="1:7" x14ac:dyDescent="0.25">
      <c r="A57" t="s">
        <v>170</v>
      </c>
      <c r="B57">
        <v>5000000</v>
      </c>
      <c r="C57" s="5">
        <v>-21.100300000000001</v>
      </c>
      <c r="D57" s="5">
        <v>-48.979900000000001</v>
      </c>
      <c r="G57" s="13"/>
    </row>
    <row r="58" spans="1:7" x14ac:dyDescent="0.25">
      <c r="A58" t="s">
        <v>171</v>
      </c>
      <c r="B58">
        <v>4000000</v>
      </c>
      <c r="C58" s="5">
        <v>-20.45703</v>
      </c>
      <c r="D58" s="5">
        <v>-50.204999999999998</v>
      </c>
      <c r="G58" s="13"/>
    </row>
    <row r="59" spans="1:7" x14ac:dyDescent="0.25">
      <c r="A59" t="s">
        <v>172</v>
      </c>
      <c r="B59">
        <v>4000000</v>
      </c>
      <c r="C59" s="5">
        <v>-21.105119999999999</v>
      </c>
      <c r="D59" s="5">
        <v>-49.327100000000002</v>
      </c>
      <c r="G59" s="13"/>
    </row>
    <row r="60" spans="1:7" x14ac:dyDescent="0.25">
      <c r="A60" t="s">
        <v>173</v>
      </c>
      <c r="B60">
        <v>5000000</v>
      </c>
      <c r="C60" s="5">
        <v>-20.582100000000001</v>
      </c>
      <c r="D60" s="5">
        <v>-49.951900000000002</v>
      </c>
      <c r="G60" s="13"/>
    </row>
    <row r="61" spans="1:7" x14ac:dyDescent="0.25">
      <c r="A61" t="s">
        <v>41</v>
      </c>
      <c r="B61">
        <v>5500000</v>
      </c>
      <c r="C61" s="5">
        <v>-21.215599999999998</v>
      </c>
      <c r="D61" s="5">
        <v>-48.839100000000002</v>
      </c>
      <c r="G61" s="13"/>
    </row>
    <row r="62" spans="1:7" x14ac:dyDescent="0.25">
      <c r="A62" t="s">
        <v>42</v>
      </c>
      <c r="B62">
        <v>5500000</v>
      </c>
      <c r="C62" s="5">
        <v>-20.283200000000001</v>
      </c>
      <c r="D62" s="5">
        <v>-48.185000000000002</v>
      </c>
      <c r="G62" s="13"/>
    </row>
    <row r="63" spans="1:7" x14ac:dyDescent="0.25">
      <c r="A63" t="s">
        <v>134</v>
      </c>
      <c r="B63">
        <v>1000000</v>
      </c>
      <c r="C63" s="5">
        <v>-7.5524500000000003</v>
      </c>
      <c r="D63" s="5">
        <v>-35.034599999999998</v>
      </c>
      <c r="G63" s="13"/>
    </row>
    <row r="64" spans="1:7" x14ac:dyDescent="0.25">
      <c r="A64" t="s">
        <v>135</v>
      </c>
      <c r="B64">
        <v>1000000</v>
      </c>
      <c r="C64" s="5">
        <v>-4.8532799999999998</v>
      </c>
      <c r="D64" s="5">
        <v>-42.884399999999999</v>
      </c>
      <c r="G64" s="13"/>
    </row>
    <row r="65" spans="1:7" x14ac:dyDescent="0.25">
      <c r="A65" t="s">
        <v>177</v>
      </c>
      <c r="B65">
        <v>1000000</v>
      </c>
      <c r="C65" s="5">
        <v>-20.019843000000002</v>
      </c>
      <c r="D65" s="5">
        <v>-47.625121999999998</v>
      </c>
      <c r="G65" s="13"/>
    </row>
    <row r="66" spans="1:7" x14ac:dyDescent="0.25">
      <c r="A66" t="s">
        <v>179</v>
      </c>
      <c r="B66">
        <v>2000000</v>
      </c>
      <c r="C66" s="5">
        <v>-15.179399999999999</v>
      </c>
      <c r="D66" s="5">
        <v>-49.758299999999998</v>
      </c>
      <c r="G66" s="13"/>
    </row>
    <row r="67" spans="1:7" x14ac:dyDescent="0.25">
      <c r="A67" t="s">
        <v>180</v>
      </c>
      <c r="B67">
        <v>1000000</v>
      </c>
      <c r="C67" s="5">
        <v>-8.4777470000000008</v>
      </c>
      <c r="D67" s="5">
        <v>-35.533186000000001</v>
      </c>
      <c r="G67" s="13"/>
    </row>
    <row r="68" spans="1:7" x14ac:dyDescent="0.25">
      <c r="A68" t="s">
        <v>43</v>
      </c>
      <c r="B68">
        <v>5000000</v>
      </c>
      <c r="C68" s="5">
        <v>-20.992495000000002</v>
      </c>
      <c r="D68" s="5">
        <v>-49.894517</v>
      </c>
      <c r="G68" s="13"/>
    </row>
    <row r="69" spans="1:7" x14ac:dyDescent="0.25">
      <c r="A69" t="s">
        <v>181</v>
      </c>
      <c r="B69">
        <v>2000000</v>
      </c>
      <c r="C69" s="5">
        <v>-13.7875</v>
      </c>
      <c r="D69" s="5">
        <v>-57.838799999999999</v>
      </c>
      <c r="G69" s="13"/>
    </row>
    <row r="70" spans="1:7" x14ac:dyDescent="0.25">
      <c r="A70" t="s">
        <v>44</v>
      </c>
      <c r="B70">
        <v>3000000</v>
      </c>
      <c r="C70" s="5">
        <v>-10.111738000000001</v>
      </c>
      <c r="D70" s="5">
        <v>-36.276148999999997</v>
      </c>
      <c r="G70" s="13"/>
    </row>
    <row r="71" spans="1:7" x14ac:dyDescent="0.25">
      <c r="A71" t="s">
        <v>45</v>
      </c>
      <c r="B71">
        <v>4000000</v>
      </c>
      <c r="C71" s="5">
        <v>-19.8125</v>
      </c>
      <c r="D71" s="5">
        <v>-48.731699999999996</v>
      </c>
      <c r="G71" s="13"/>
    </row>
    <row r="72" spans="1:7" x14ac:dyDescent="0.25">
      <c r="A72" t="s">
        <v>46</v>
      </c>
      <c r="B72">
        <v>4000000</v>
      </c>
      <c r="C72" s="5">
        <v>-19.709800000000001</v>
      </c>
      <c r="D72" s="5">
        <v>-50.340200000000003</v>
      </c>
      <c r="G72" s="13"/>
    </row>
    <row r="73" spans="1:7" x14ac:dyDescent="0.25">
      <c r="A73" t="s">
        <v>183</v>
      </c>
      <c r="B73">
        <v>2000000</v>
      </c>
      <c r="C73" s="5">
        <v>-23.666595999999998</v>
      </c>
      <c r="D73" s="5">
        <v>-53.410587999999997</v>
      </c>
      <c r="G73" s="13"/>
    </row>
    <row r="74" spans="1:7" x14ac:dyDescent="0.25">
      <c r="A74" t="s">
        <v>184</v>
      </c>
      <c r="B74">
        <v>1000000</v>
      </c>
      <c r="C74" s="5">
        <v>-15.3469</v>
      </c>
      <c r="D74" s="5">
        <v>-49.729500000000002</v>
      </c>
      <c r="G74" s="13"/>
    </row>
    <row r="75" spans="1:7" x14ac:dyDescent="0.25">
      <c r="A75" t="s">
        <v>114</v>
      </c>
      <c r="B75">
        <v>2000000</v>
      </c>
      <c r="C75" s="5">
        <v>-8.6409199999999995</v>
      </c>
      <c r="D75" s="5">
        <v>-35.2712</v>
      </c>
      <c r="G75" s="13"/>
    </row>
    <row r="76" spans="1:7" x14ac:dyDescent="0.25">
      <c r="A76" t="s">
        <v>47</v>
      </c>
      <c r="B76">
        <v>4000000</v>
      </c>
      <c r="C76" s="5">
        <v>-21.051400000000001</v>
      </c>
      <c r="D76" s="5">
        <v>-50.8446</v>
      </c>
      <c r="G76" s="13"/>
    </row>
    <row r="77" spans="1:7" x14ac:dyDescent="0.25">
      <c r="A77" t="s">
        <v>48</v>
      </c>
      <c r="B77">
        <v>5000000</v>
      </c>
      <c r="C77" s="5">
        <v>-21.178699999999999</v>
      </c>
      <c r="D77" s="5">
        <v>-47.625300000000003</v>
      </c>
      <c r="G77" s="13"/>
    </row>
    <row r="78" spans="1:7" x14ac:dyDescent="0.25">
      <c r="A78" t="s">
        <v>185</v>
      </c>
      <c r="B78">
        <v>2000000</v>
      </c>
      <c r="C78" s="5">
        <v>-23.160900000000002</v>
      </c>
      <c r="D78" s="5">
        <v>-50.103099999999998</v>
      </c>
      <c r="G78" s="13"/>
    </row>
    <row r="79" spans="1:7" x14ac:dyDescent="0.25">
      <c r="A79" t="s">
        <v>188</v>
      </c>
      <c r="B79">
        <v>2000000</v>
      </c>
      <c r="C79" s="5">
        <v>-22.057600000000001</v>
      </c>
      <c r="D79" s="5">
        <v>-48.711599999999997</v>
      </c>
      <c r="G79" s="13"/>
    </row>
    <row r="80" spans="1:7" x14ac:dyDescent="0.25">
      <c r="A80" t="s">
        <v>49</v>
      </c>
      <c r="B80">
        <v>5000000</v>
      </c>
      <c r="C80" s="5">
        <v>-19.9727</v>
      </c>
      <c r="D80" s="5">
        <v>-47.768700000000003</v>
      </c>
      <c r="G80" s="13"/>
    </row>
    <row r="81" spans="1:7" x14ac:dyDescent="0.25">
      <c r="A81" t="s">
        <v>50</v>
      </c>
      <c r="B81">
        <v>5000000</v>
      </c>
      <c r="C81" s="5">
        <v>-19.979900000000001</v>
      </c>
      <c r="D81" s="5">
        <v>-48.264499999999998</v>
      </c>
      <c r="G81" s="13"/>
    </row>
    <row r="82" spans="1:7" x14ac:dyDescent="0.25">
      <c r="A82" t="s">
        <v>191</v>
      </c>
      <c r="B82">
        <v>2000000</v>
      </c>
      <c r="C82" s="5">
        <v>-21.401299999999999</v>
      </c>
      <c r="D82" s="5">
        <v>-49.893500000000003</v>
      </c>
      <c r="G82" s="13"/>
    </row>
    <row r="83" spans="1:7" x14ac:dyDescent="0.25">
      <c r="A83" t="s">
        <v>51</v>
      </c>
      <c r="B83">
        <v>4000000</v>
      </c>
      <c r="C83" s="5">
        <v>-21.864799999999999</v>
      </c>
      <c r="D83" s="5">
        <v>-54.021999999999998</v>
      </c>
      <c r="G83" s="13"/>
    </row>
    <row r="84" spans="1:7" x14ac:dyDescent="0.25">
      <c r="A84" t="s">
        <v>193</v>
      </c>
      <c r="B84">
        <v>1000000</v>
      </c>
      <c r="C84" s="5">
        <v>-18.383123000000001</v>
      </c>
      <c r="D84" s="5">
        <v>-52.106836000000001</v>
      </c>
      <c r="G84" s="13"/>
    </row>
    <row r="85" spans="1:7" x14ac:dyDescent="0.25">
      <c r="A85" t="s">
        <v>52</v>
      </c>
      <c r="B85">
        <v>3000000</v>
      </c>
      <c r="C85" s="5">
        <v>-22.657299999999999</v>
      </c>
      <c r="D85" s="5">
        <v>-47.210900000000002</v>
      </c>
      <c r="G85" s="13"/>
    </row>
    <row r="86" spans="1:7" x14ac:dyDescent="0.25">
      <c r="A86" s="5" t="s">
        <v>53</v>
      </c>
      <c r="B86">
        <v>5000000</v>
      </c>
      <c r="C86" s="5">
        <v>-22.399100000000001</v>
      </c>
      <c r="D86" s="5">
        <v>-52.100200000000001</v>
      </c>
      <c r="G86" s="14"/>
    </row>
    <row r="87" spans="1:7" x14ac:dyDescent="0.25">
      <c r="A87" s="8" t="s">
        <v>56</v>
      </c>
      <c r="B87">
        <v>4000000</v>
      </c>
      <c r="C87" s="5">
        <v>-21.845490000000002</v>
      </c>
      <c r="D87" s="5">
        <v>-47.363059999999997</v>
      </c>
      <c r="G87" s="14"/>
    </row>
    <row r="88" spans="1:7" x14ac:dyDescent="0.25">
      <c r="A88" s="5" t="s">
        <v>196</v>
      </c>
      <c r="B88">
        <v>2000000</v>
      </c>
      <c r="C88" s="5">
        <v>-21.0761</v>
      </c>
      <c r="D88" s="5">
        <v>-50.5441</v>
      </c>
      <c r="G88" s="14"/>
    </row>
    <row r="89" spans="1:7" x14ac:dyDescent="0.25">
      <c r="A89" s="8" t="s">
        <v>199</v>
      </c>
      <c r="B89">
        <v>2000000</v>
      </c>
      <c r="C89" s="5">
        <v>-20.084385000000001</v>
      </c>
      <c r="D89" s="5">
        <v>-48.821755000000003</v>
      </c>
      <c r="G89" s="14"/>
    </row>
    <row r="90" spans="1:7" x14ac:dyDescent="0.25">
      <c r="A90" s="8" t="s">
        <v>200</v>
      </c>
      <c r="B90">
        <v>2000000</v>
      </c>
      <c r="C90" s="5">
        <v>-22.761610000000001</v>
      </c>
      <c r="D90" s="5">
        <v>-47.478360000000002</v>
      </c>
      <c r="G90" s="14"/>
    </row>
    <row r="91" spans="1:7" x14ac:dyDescent="0.25">
      <c r="A91" s="5" t="s">
        <v>201</v>
      </c>
      <c r="B91">
        <v>1000000</v>
      </c>
      <c r="C91" s="5">
        <v>-15.215199999999999</v>
      </c>
      <c r="D91" s="5">
        <v>-48.969000000000001</v>
      </c>
      <c r="G91" s="14"/>
    </row>
    <row r="92" spans="1:7" x14ac:dyDescent="0.25">
      <c r="A92" s="5" t="s">
        <v>57</v>
      </c>
      <c r="B92">
        <v>5000000</v>
      </c>
      <c r="C92" s="5">
        <v>-18.0715</v>
      </c>
      <c r="D92" s="5">
        <v>-49.6723</v>
      </c>
      <c r="G92" s="14"/>
    </row>
    <row r="93" spans="1:7" x14ac:dyDescent="0.25">
      <c r="A93" s="5" t="s">
        <v>58</v>
      </c>
      <c r="B93">
        <v>4000000</v>
      </c>
      <c r="C93" s="5">
        <v>-20.418399999999998</v>
      </c>
      <c r="D93" s="5">
        <v>-48.211399999999998</v>
      </c>
      <c r="G93" s="14"/>
    </row>
    <row r="94" spans="1:7" x14ac:dyDescent="0.25">
      <c r="A94" s="5" t="s">
        <v>59</v>
      </c>
      <c r="B94">
        <v>5500000</v>
      </c>
      <c r="C94" s="5">
        <v>-20.688379999999999</v>
      </c>
      <c r="D94" s="5">
        <v>-49.111249999999998</v>
      </c>
      <c r="G94" s="14"/>
    </row>
    <row r="95" spans="1:7" x14ac:dyDescent="0.25">
      <c r="A95" s="5" t="s">
        <v>60</v>
      </c>
      <c r="B95">
        <v>4000000</v>
      </c>
      <c r="C95" s="5">
        <v>-20.483000000000001</v>
      </c>
      <c r="D95" s="5">
        <v>-48.411000000000001</v>
      </c>
      <c r="G95" s="14"/>
    </row>
    <row r="96" spans="1:7" x14ac:dyDescent="0.25">
      <c r="A96" s="5" t="s">
        <v>61</v>
      </c>
      <c r="B96">
        <v>3000000</v>
      </c>
      <c r="C96" s="5">
        <v>-20.821100000000001</v>
      </c>
      <c r="D96" s="5">
        <v>-48.822699999999998</v>
      </c>
      <c r="G96" s="14"/>
    </row>
    <row r="97" spans="1:7" x14ac:dyDescent="0.25">
      <c r="A97" s="5" t="s">
        <v>203</v>
      </c>
      <c r="B97">
        <v>2000000</v>
      </c>
      <c r="C97" s="5">
        <v>-20.487100000000002</v>
      </c>
      <c r="D97" s="5">
        <v>-49.540599999999998</v>
      </c>
      <c r="G97" s="14"/>
    </row>
    <row r="98" spans="1:7" x14ac:dyDescent="0.25">
      <c r="A98" s="5" t="s">
        <v>204</v>
      </c>
      <c r="B98">
        <v>2000000</v>
      </c>
      <c r="C98" s="5">
        <v>-20.1144</v>
      </c>
      <c r="D98" s="5">
        <v>-49.759439999999998</v>
      </c>
      <c r="G98" s="14"/>
    </row>
    <row r="99" spans="1:7" x14ac:dyDescent="0.25">
      <c r="A99" s="5" t="s">
        <v>62</v>
      </c>
      <c r="B99">
        <v>4000000</v>
      </c>
      <c r="C99" s="5">
        <v>-21.798113000000001</v>
      </c>
      <c r="D99" s="5">
        <v>-49.011766000000001</v>
      </c>
      <c r="G99" s="14"/>
    </row>
    <row r="100" spans="1:7" x14ac:dyDescent="0.25">
      <c r="A100" s="5" t="s">
        <v>207</v>
      </c>
      <c r="B100">
        <v>1000000</v>
      </c>
      <c r="C100" s="5">
        <v>-21.438649999999999</v>
      </c>
      <c r="D100" s="5">
        <v>-47.346589999999999</v>
      </c>
      <c r="G100" s="14"/>
    </row>
    <row r="101" spans="1:7" x14ac:dyDescent="0.25">
      <c r="A101" s="5" t="s">
        <v>210</v>
      </c>
      <c r="B101">
        <v>2000000</v>
      </c>
      <c r="C101" s="5">
        <v>-21.831800000000001</v>
      </c>
      <c r="D101" s="5">
        <v>-47.750500000000002</v>
      </c>
      <c r="G101" s="14"/>
    </row>
    <row r="102" spans="1:7" x14ac:dyDescent="0.25">
      <c r="A102" s="5" t="s">
        <v>211</v>
      </c>
      <c r="B102">
        <v>2000000</v>
      </c>
      <c r="C102" s="5">
        <v>-21.344069999999999</v>
      </c>
      <c r="D102" s="5">
        <v>-47.155520000000003</v>
      </c>
      <c r="G102" s="14"/>
    </row>
    <row r="103" spans="1:7" x14ac:dyDescent="0.25">
      <c r="A103" s="5" t="s">
        <v>212</v>
      </c>
      <c r="B103">
        <v>1000000</v>
      </c>
      <c r="C103" s="5">
        <v>-8.3931699999999996</v>
      </c>
      <c r="D103" s="5">
        <v>-35.0916</v>
      </c>
      <c r="G103" s="14"/>
    </row>
    <row r="104" spans="1:7" x14ac:dyDescent="0.25">
      <c r="A104" s="5" t="s">
        <v>65</v>
      </c>
      <c r="B104">
        <v>3000000</v>
      </c>
      <c r="C104" s="5">
        <v>-22.586359999999999</v>
      </c>
      <c r="D104" s="5">
        <v>-47.531080000000003</v>
      </c>
      <c r="G104" s="14"/>
    </row>
    <row r="105" spans="1:7" x14ac:dyDescent="0.25">
      <c r="A105" s="5" t="s">
        <v>214</v>
      </c>
      <c r="B105">
        <v>2000000</v>
      </c>
      <c r="C105" s="5">
        <v>-21.194199999999999</v>
      </c>
      <c r="D105" s="5">
        <v>-49.1387</v>
      </c>
      <c r="G105" s="14"/>
    </row>
    <row r="106" spans="1:7" x14ac:dyDescent="0.25">
      <c r="A106" s="5" t="s">
        <v>66</v>
      </c>
      <c r="B106">
        <v>5500000</v>
      </c>
      <c r="C106" s="5">
        <v>-14.7582</v>
      </c>
      <c r="D106" s="5">
        <v>-57.195099999999996</v>
      </c>
      <c r="G106" s="14"/>
    </row>
    <row r="107" spans="1:7" x14ac:dyDescent="0.25">
      <c r="A107" s="5" t="s">
        <v>67</v>
      </c>
      <c r="B107">
        <v>3000000</v>
      </c>
      <c r="C107" s="5">
        <v>-19.889800000000001</v>
      </c>
      <c r="D107" s="5">
        <v>-49.691200000000002</v>
      </c>
      <c r="G107" s="14"/>
    </row>
    <row r="108" spans="1:7" x14ac:dyDescent="0.25">
      <c r="A108" s="5" t="s">
        <v>216</v>
      </c>
      <c r="B108">
        <v>2000000</v>
      </c>
      <c r="C108" s="5">
        <v>-19.014879000000001</v>
      </c>
      <c r="D108" s="5">
        <v>-49.675680999999997</v>
      </c>
      <c r="G108" s="14"/>
    </row>
    <row r="109" spans="1:7" x14ac:dyDescent="0.25">
      <c r="A109" s="5" t="s">
        <v>68</v>
      </c>
      <c r="B109">
        <v>3000000</v>
      </c>
      <c r="C109" s="5">
        <v>-18.517327000000002</v>
      </c>
      <c r="D109" s="5">
        <v>-49.361207</v>
      </c>
      <c r="G109" s="14"/>
    </row>
    <row r="110" spans="1:7" x14ac:dyDescent="0.25">
      <c r="A110" s="5" t="s">
        <v>69</v>
      </c>
      <c r="B110">
        <v>3000000</v>
      </c>
      <c r="C110" s="5">
        <v>-23.093499999999999</v>
      </c>
      <c r="D110" s="5">
        <v>-49.941600000000001</v>
      </c>
      <c r="G110" s="14"/>
    </row>
    <row r="111" spans="1:7" x14ac:dyDescent="0.25">
      <c r="A111" s="5" t="s">
        <v>70</v>
      </c>
      <c r="B111">
        <v>3000000</v>
      </c>
      <c r="C111" s="5">
        <v>-15.212199999999999</v>
      </c>
      <c r="D111" s="5">
        <v>-49.985399999999998</v>
      </c>
      <c r="G111" s="14"/>
    </row>
    <row r="112" spans="1:7" x14ac:dyDescent="0.25">
      <c r="A112" s="8" t="s">
        <v>217</v>
      </c>
      <c r="B112">
        <v>2000000</v>
      </c>
      <c r="C112" s="5">
        <v>-15.083491</v>
      </c>
      <c r="D112" s="5">
        <v>-49.305275000000002</v>
      </c>
      <c r="G112" s="14"/>
    </row>
    <row r="113" spans="1:7" x14ac:dyDescent="0.25">
      <c r="A113" s="5" t="s">
        <v>218</v>
      </c>
      <c r="B113">
        <v>1000000</v>
      </c>
      <c r="C113" s="5">
        <v>-20.301295</v>
      </c>
      <c r="D113" s="5">
        <v>-42.690556000000001</v>
      </c>
      <c r="G113" s="14"/>
    </row>
    <row r="114" spans="1:7" x14ac:dyDescent="0.25">
      <c r="A114" s="8" t="s">
        <v>219</v>
      </c>
      <c r="B114">
        <v>1000000</v>
      </c>
      <c r="C114" s="5">
        <v>-1.9877629999999999</v>
      </c>
      <c r="D114" s="5">
        <v>-60.141449999999999</v>
      </c>
      <c r="G114" s="14"/>
    </row>
    <row r="115" spans="1:7" x14ac:dyDescent="0.25">
      <c r="A115" s="8" t="s">
        <v>220</v>
      </c>
      <c r="B115">
        <v>1000000</v>
      </c>
      <c r="C115" s="5">
        <v>-22.5185</v>
      </c>
      <c r="D115" s="5">
        <v>-47.713900000000002</v>
      </c>
      <c r="G115" s="14"/>
    </row>
    <row r="116" spans="1:7" x14ac:dyDescent="0.25">
      <c r="A116" s="8" t="s">
        <v>225</v>
      </c>
      <c r="B116">
        <v>1000000</v>
      </c>
      <c r="C116" s="5">
        <v>-8.3430040000000005</v>
      </c>
      <c r="D116" s="5">
        <v>-35.282111999999998</v>
      </c>
      <c r="G116" s="14"/>
    </row>
    <row r="117" spans="1:7" x14ac:dyDescent="0.25">
      <c r="A117" s="5" t="s">
        <v>229</v>
      </c>
      <c r="B117">
        <v>1000000</v>
      </c>
      <c r="C117" s="5">
        <v>-6.1167199999999999</v>
      </c>
      <c r="D117" s="5">
        <v>-47.285400000000003</v>
      </c>
      <c r="G117" s="14"/>
    </row>
    <row r="118" spans="1:7" x14ac:dyDescent="0.25">
      <c r="A118" s="5" t="s">
        <v>115</v>
      </c>
      <c r="B118">
        <v>2000000</v>
      </c>
      <c r="C118" s="5">
        <v>-9.5003799999999998</v>
      </c>
      <c r="D118" s="5">
        <v>-40.369599999999998</v>
      </c>
      <c r="G118" s="14"/>
    </row>
    <row r="119" spans="1:7" x14ac:dyDescent="0.25">
      <c r="A119" s="5" t="s">
        <v>230</v>
      </c>
      <c r="B119">
        <v>1000000</v>
      </c>
      <c r="C119" s="5">
        <v>-10.151</v>
      </c>
      <c r="D119" s="5">
        <v>-36.541899999999998</v>
      </c>
      <c r="G119" s="14"/>
    </row>
    <row r="120" spans="1:7" x14ac:dyDescent="0.25">
      <c r="A120" s="5" t="s">
        <v>231</v>
      </c>
      <c r="B120">
        <v>2000000</v>
      </c>
      <c r="C120" s="5">
        <v>-23.565200000000001</v>
      </c>
      <c r="D120" s="5">
        <v>-52.427700000000002</v>
      </c>
      <c r="G120" s="14"/>
    </row>
    <row r="121" spans="1:7" x14ac:dyDescent="0.25">
      <c r="A121" s="5" t="s">
        <v>2</v>
      </c>
      <c r="B121">
        <v>5000000</v>
      </c>
      <c r="C121" s="5">
        <v>-20.235199999999999</v>
      </c>
      <c r="D121" s="5">
        <v>-49.3598</v>
      </c>
      <c r="G121" s="14"/>
    </row>
    <row r="122" spans="1:7" x14ac:dyDescent="0.25">
      <c r="A122" s="5" t="s">
        <v>233</v>
      </c>
      <c r="B122">
        <v>1000000</v>
      </c>
      <c r="C122" s="5">
        <v>-21.383199999999999</v>
      </c>
      <c r="D122" s="5">
        <v>-46.246499999999997</v>
      </c>
      <c r="G122" s="14"/>
    </row>
    <row r="123" spans="1:7" x14ac:dyDescent="0.25">
      <c r="A123" s="8" t="s">
        <v>234</v>
      </c>
      <c r="B123">
        <v>1000000</v>
      </c>
      <c r="C123" s="5">
        <v>-6.8595499999999996</v>
      </c>
      <c r="D123" s="5">
        <v>-35.128100000000003</v>
      </c>
      <c r="G123" s="14"/>
    </row>
    <row r="124" spans="1:7" x14ac:dyDescent="0.25">
      <c r="A124" s="5" t="s">
        <v>236</v>
      </c>
      <c r="B124">
        <v>1000000</v>
      </c>
      <c r="C124" s="5">
        <v>-22.292200000000001</v>
      </c>
      <c r="D124" s="5">
        <v>-55.100200000000001</v>
      </c>
      <c r="G124" s="14"/>
    </row>
    <row r="125" spans="1:7" x14ac:dyDescent="0.25">
      <c r="A125" s="5" t="s">
        <v>71</v>
      </c>
      <c r="B125">
        <v>3000000</v>
      </c>
      <c r="C125" s="5">
        <v>-21.4819</v>
      </c>
      <c r="D125" s="5">
        <v>-47.770200000000003</v>
      </c>
      <c r="G125" s="14"/>
    </row>
    <row r="126" spans="1:7" x14ac:dyDescent="0.25">
      <c r="A126" s="5" t="s">
        <v>72</v>
      </c>
      <c r="B126">
        <v>4000000</v>
      </c>
      <c r="C126" s="5">
        <v>-21.185459999999999</v>
      </c>
      <c r="D126" s="5">
        <v>-48.654170000000001</v>
      </c>
      <c r="G126" s="14"/>
    </row>
    <row r="127" spans="1:7" s="16" customFormat="1" x14ac:dyDescent="0.25">
      <c r="A127" s="15" t="s">
        <v>243</v>
      </c>
      <c r="B127" s="16">
        <v>2000000</v>
      </c>
      <c r="C127" s="15">
        <v>-19.952000000000002</v>
      </c>
      <c r="D127" s="15">
        <v>-50.435200000000002</v>
      </c>
      <c r="G127" s="17"/>
    </row>
    <row r="128" spans="1:7" x14ac:dyDescent="0.25">
      <c r="A128" s="5" t="s">
        <v>244</v>
      </c>
      <c r="B128">
        <v>1000000</v>
      </c>
      <c r="C128" s="5">
        <v>-3.7175099999999999</v>
      </c>
      <c r="D128" s="5">
        <v>-47.4876</v>
      </c>
      <c r="G128" s="14"/>
    </row>
    <row r="129" spans="1:7" x14ac:dyDescent="0.25">
      <c r="A129" s="5" t="s">
        <v>245</v>
      </c>
      <c r="B129">
        <v>1000000</v>
      </c>
      <c r="C129" s="5">
        <v>-20.953700000000001</v>
      </c>
      <c r="D129" s="5">
        <v>-40.949399999999997</v>
      </c>
      <c r="G129" s="14"/>
    </row>
    <row r="130" spans="1:7" x14ac:dyDescent="0.25">
      <c r="A130" s="5" t="s">
        <v>74</v>
      </c>
      <c r="B130">
        <v>3000000</v>
      </c>
      <c r="C130" s="5">
        <v>-18.338777</v>
      </c>
      <c r="D130" s="5">
        <v>-49.865665999999997</v>
      </c>
      <c r="G130" s="14"/>
    </row>
    <row r="131" spans="1:7" ht="16.5" customHeight="1" x14ac:dyDescent="0.25">
      <c r="A131" s="5" t="s">
        <v>247</v>
      </c>
      <c r="B131">
        <v>1000000</v>
      </c>
      <c r="C131" s="5">
        <v>-22.973600000000001</v>
      </c>
      <c r="D131" s="5">
        <v>-47.794609999999999</v>
      </c>
      <c r="G131" s="14"/>
    </row>
    <row r="132" spans="1:7" x14ac:dyDescent="0.25">
      <c r="A132" s="5" t="s">
        <v>116</v>
      </c>
      <c r="B132">
        <v>2000000</v>
      </c>
      <c r="C132" s="5">
        <v>-7.8890500000000001</v>
      </c>
      <c r="D132" s="5">
        <v>-35.247</v>
      </c>
      <c r="G132" s="14"/>
    </row>
    <row r="133" spans="1:7" x14ac:dyDescent="0.25">
      <c r="A133" s="5" t="s">
        <v>249</v>
      </c>
      <c r="B133">
        <v>1000000</v>
      </c>
      <c r="C133" s="5">
        <v>-10.161549000000001</v>
      </c>
      <c r="D133" s="5">
        <v>-36.348306999999998</v>
      </c>
      <c r="G133" s="14"/>
    </row>
    <row r="134" spans="1:7" x14ac:dyDescent="0.25">
      <c r="A134" s="5" t="s">
        <v>250</v>
      </c>
      <c r="B134">
        <v>1000000</v>
      </c>
      <c r="C134" s="5">
        <v>-10.768700000000001</v>
      </c>
      <c r="D134" s="5">
        <v>-37.213999999999999</v>
      </c>
      <c r="G134" s="14"/>
    </row>
    <row r="135" spans="1:7" x14ac:dyDescent="0.25">
      <c r="A135" s="5" t="s">
        <v>251</v>
      </c>
      <c r="B135">
        <v>2000000</v>
      </c>
      <c r="C135" s="5">
        <v>-20.729500000000002</v>
      </c>
      <c r="D135" s="5">
        <v>-50.962110000000003</v>
      </c>
      <c r="G135" s="14"/>
    </row>
    <row r="136" spans="1:7" x14ac:dyDescent="0.25">
      <c r="A136" s="5" t="s">
        <v>78</v>
      </c>
      <c r="B136">
        <v>3000000</v>
      </c>
      <c r="C136" s="5">
        <v>-21.052230000000002</v>
      </c>
      <c r="D136" s="5">
        <v>-48.262619999999998</v>
      </c>
      <c r="G136" s="14"/>
    </row>
    <row r="137" spans="1:7" x14ac:dyDescent="0.25">
      <c r="A137" s="5" t="s">
        <v>252</v>
      </c>
      <c r="B137">
        <v>1000000</v>
      </c>
      <c r="C137" s="5">
        <v>-8.9654199999999999</v>
      </c>
      <c r="D137" s="5">
        <v>-35.721800000000002</v>
      </c>
      <c r="G137" s="14"/>
    </row>
    <row r="138" spans="1:7" x14ac:dyDescent="0.25">
      <c r="A138" s="8" t="s">
        <v>117</v>
      </c>
      <c r="B138">
        <v>2000000</v>
      </c>
      <c r="C138" s="5">
        <v>-9.8164099999999994</v>
      </c>
      <c r="D138" s="5">
        <v>-36.2149</v>
      </c>
      <c r="G138" s="14"/>
    </row>
    <row r="139" spans="1:7" x14ac:dyDescent="0.25">
      <c r="A139" s="5" t="s">
        <v>80</v>
      </c>
      <c r="B139">
        <v>3000000</v>
      </c>
      <c r="C139" s="5">
        <v>-22.262080000000001</v>
      </c>
      <c r="D139" s="5">
        <v>-50.648040000000002</v>
      </c>
      <c r="G139" s="14"/>
    </row>
    <row r="140" spans="1:7" x14ac:dyDescent="0.25">
      <c r="A140" s="5" t="s">
        <v>81</v>
      </c>
      <c r="B140">
        <v>5500000</v>
      </c>
      <c r="C140" s="5">
        <v>-22.477699999999999</v>
      </c>
      <c r="D140" s="5">
        <v>-48.534700000000001</v>
      </c>
      <c r="G140" s="14"/>
    </row>
    <row r="141" spans="1:7" x14ac:dyDescent="0.25">
      <c r="A141" s="5" t="s">
        <v>254</v>
      </c>
      <c r="B141">
        <v>1000000</v>
      </c>
      <c r="C141" s="5">
        <v>-21.2316</v>
      </c>
      <c r="D141" s="5">
        <v>-50.774999999999999</v>
      </c>
      <c r="G141" s="14"/>
    </row>
    <row r="142" spans="1:7" x14ac:dyDescent="0.25">
      <c r="A142" s="5" t="s">
        <v>255</v>
      </c>
      <c r="B142">
        <v>2000000</v>
      </c>
      <c r="C142" s="5">
        <v>-22.8733</v>
      </c>
      <c r="D142" s="5">
        <v>-47.453499999999998</v>
      </c>
      <c r="G142" s="14"/>
    </row>
    <row r="143" spans="1:7" x14ac:dyDescent="0.25">
      <c r="A143" s="5" t="s">
        <v>82</v>
      </c>
      <c r="B143">
        <v>5000000</v>
      </c>
      <c r="C143" s="5">
        <v>-21.4178</v>
      </c>
      <c r="D143" s="5">
        <v>-48.2881</v>
      </c>
      <c r="G143" s="14"/>
    </row>
    <row r="144" spans="1:7" x14ac:dyDescent="0.25">
      <c r="A144" s="5" t="s">
        <v>83</v>
      </c>
      <c r="B144">
        <v>5000000</v>
      </c>
      <c r="C144" s="5">
        <v>-22.613699</v>
      </c>
      <c r="D144" s="5">
        <v>-54.693435999999998</v>
      </c>
      <c r="G144" s="14"/>
    </row>
    <row r="145" spans="1:7" x14ac:dyDescent="0.25">
      <c r="A145" s="5" t="s">
        <v>256</v>
      </c>
      <c r="B145">
        <v>2000000</v>
      </c>
      <c r="C145" s="5">
        <v>-21.0578</v>
      </c>
      <c r="D145" s="5">
        <v>-50.465600000000002</v>
      </c>
      <c r="G145" s="14"/>
    </row>
    <row r="146" spans="1:7" x14ac:dyDescent="0.25">
      <c r="A146" s="5" t="s">
        <v>257</v>
      </c>
      <c r="B146">
        <v>2000000</v>
      </c>
      <c r="C146" s="5">
        <v>-22.369679999999999</v>
      </c>
      <c r="D146" s="5">
        <v>-48.692909999999998</v>
      </c>
      <c r="G146" s="14"/>
    </row>
    <row r="147" spans="1:7" x14ac:dyDescent="0.25">
      <c r="A147" s="5" t="s">
        <v>84</v>
      </c>
      <c r="B147">
        <v>4000000</v>
      </c>
      <c r="C147" s="5">
        <v>-20.7699</v>
      </c>
      <c r="D147" s="5">
        <v>-51.258699999999997</v>
      </c>
      <c r="G147" s="14"/>
    </row>
    <row r="148" spans="1:7" x14ac:dyDescent="0.25">
      <c r="A148" s="5" t="s">
        <v>258</v>
      </c>
      <c r="B148">
        <v>2000000</v>
      </c>
      <c r="C148" s="5">
        <v>-22.013500000000001</v>
      </c>
      <c r="D148" s="5">
        <v>-48.002099999999999</v>
      </c>
      <c r="G148" s="14"/>
    </row>
    <row r="149" spans="1:7" x14ac:dyDescent="0.25">
      <c r="A149" s="5" t="s">
        <v>85</v>
      </c>
      <c r="B149">
        <v>3000000</v>
      </c>
      <c r="C149" s="5">
        <v>-23.103210000000001</v>
      </c>
      <c r="D149" s="5">
        <v>-49.592860000000002</v>
      </c>
      <c r="G149" s="14"/>
    </row>
    <row r="150" spans="1:7" x14ac:dyDescent="0.25">
      <c r="A150" s="5" t="s">
        <v>87</v>
      </c>
      <c r="B150">
        <v>3000000</v>
      </c>
      <c r="C150" s="5">
        <v>-19.988800000000001</v>
      </c>
      <c r="D150" s="5">
        <v>-47.797199999999997</v>
      </c>
      <c r="G150" s="14"/>
    </row>
    <row r="151" spans="1:7" x14ac:dyDescent="0.25">
      <c r="A151" s="5" t="s">
        <v>88</v>
      </c>
      <c r="B151">
        <v>4000000</v>
      </c>
      <c r="C151" s="5">
        <v>-22.57508</v>
      </c>
      <c r="D151" s="5">
        <v>-50.653619999999997</v>
      </c>
      <c r="G151" s="14"/>
    </row>
    <row r="152" spans="1:7" x14ac:dyDescent="0.25">
      <c r="A152" s="5" t="s">
        <v>259</v>
      </c>
      <c r="B152">
        <v>2000000</v>
      </c>
      <c r="C152" s="5">
        <v>-21.197949999999999</v>
      </c>
      <c r="D152" s="5">
        <v>-51.215670000000003</v>
      </c>
      <c r="G152" s="14"/>
    </row>
    <row r="153" spans="1:7" x14ac:dyDescent="0.25">
      <c r="A153" s="5" t="s">
        <v>89</v>
      </c>
      <c r="B153">
        <v>3000000</v>
      </c>
      <c r="C153" s="5">
        <v>-22.465779999999999</v>
      </c>
      <c r="D153" s="5">
        <v>-50.491970000000002</v>
      </c>
      <c r="G153" s="14"/>
    </row>
    <row r="154" spans="1:7" x14ac:dyDescent="0.25">
      <c r="A154" s="5" t="s">
        <v>90</v>
      </c>
      <c r="B154">
        <v>3000000</v>
      </c>
      <c r="C154" s="5">
        <v>-23.001339999999999</v>
      </c>
      <c r="D154" s="5">
        <v>-47.52966</v>
      </c>
      <c r="G154" s="14"/>
    </row>
    <row r="155" spans="1:7" x14ac:dyDescent="0.25">
      <c r="A155" s="8" t="s">
        <v>260</v>
      </c>
      <c r="B155">
        <v>2000000</v>
      </c>
      <c r="C155" s="5">
        <v>-22.800820000000002</v>
      </c>
      <c r="D155" s="5">
        <v>-47.662489999999998</v>
      </c>
      <c r="G155" s="14"/>
    </row>
    <row r="156" spans="1:7" x14ac:dyDescent="0.25">
      <c r="A156" s="5" t="s">
        <v>91</v>
      </c>
      <c r="B156">
        <v>5000000</v>
      </c>
      <c r="C156" s="5">
        <v>-22.786539999999999</v>
      </c>
      <c r="D156" s="5">
        <v>-50.550579999999997</v>
      </c>
      <c r="G156" s="14"/>
    </row>
    <row r="157" spans="1:7" x14ac:dyDescent="0.25">
      <c r="A157" s="5" t="s">
        <v>92</v>
      </c>
      <c r="B157">
        <v>3000000</v>
      </c>
      <c r="C157" s="5">
        <v>-21.329470000000001</v>
      </c>
      <c r="D157" s="5">
        <v>-50.955109999999998</v>
      </c>
      <c r="G157" s="14"/>
    </row>
    <row r="158" spans="1:7" x14ac:dyDescent="0.25">
      <c r="A158" s="5" t="s">
        <v>93</v>
      </c>
      <c r="B158">
        <v>3000000</v>
      </c>
      <c r="C158" s="5">
        <v>-22.349299999999999</v>
      </c>
      <c r="D158" s="5">
        <v>-48.105499999999999</v>
      </c>
      <c r="G158" s="14"/>
    </row>
    <row r="159" spans="1:7" x14ac:dyDescent="0.25">
      <c r="A159" s="5" t="s">
        <v>94</v>
      </c>
      <c r="B159">
        <v>3000000</v>
      </c>
      <c r="C159" s="5">
        <v>-22.105599999999999</v>
      </c>
      <c r="D159" s="5">
        <v>-48.481699999999996</v>
      </c>
      <c r="G159" s="14"/>
    </row>
    <row r="160" spans="1:7" x14ac:dyDescent="0.25">
      <c r="A160" s="5" t="s">
        <v>261</v>
      </c>
      <c r="B160">
        <v>1000000</v>
      </c>
      <c r="C160" s="5">
        <v>-23.603899999999999</v>
      </c>
      <c r="D160" s="5">
        <v>-51.866900000000001</v>
      </c>
      <c r="G160" s="14"/>
    </row>
    <row r="161" spans="1:7" x14ac:dyDescent="0.25">
      <c r="A161" s="5" t="s">
        <v>96</v>
      </c>
      <c r="B161">
        <v>3000000</v>
      </c>
      <c r="C161" s="5">
        <v>-23.132110000000001</v>
      </c>
      <c r="D161" s="5">
        <v>-54.200409999999998</v>
      </c>
      <c r="G161" s="14"/>
    </row>
    <row r="162" spans="1:7" x14ac:dyDescent="0.25">
      <c r="A162" s="5" t="s">
        <v>266</v>
      </c>
      <c r="B162">
        <v>3000000</v>
      </c>
      <c r="C162" s="5">
        <v>-21.338999999999999</v>
      </c>
      <c r="D162" s="5">
        <v>-51.366</v>
      </c>
      <c r="G162" s="14"/>
    </row>
    <row r="163" spans="1:7" x14ac:dyDescent="0.25">
      <c r="A163" s="8" t="s">
        <v>268</v>
      </c>
      <c r="B163">
        <v>3000000</v>
      </c>
      <c r="C163" s="5">
        <v>-21.279530000000001</v>
      </c>
      <c r="D163" s="5">
        <v>-48.172899999999998</v>
      </c>
      <c r="G163" s="14"/>
    </row>
    <row r="164" spans="1:7" x14ac:dyDescent="0.25">
      <c r="A164" s="8" t="s">
        <v>269</v>
      </c>
      <c r="B164">
        <v>2000000</v>
      </c>
      <c r="C164" s="5">
        <v>-20.039539999999999</v>
      </c>
      <c r="D164" s="5">
        <v>-50.67597</v>
      </c>
      <c r="G164" s="14"/>
    </row>
    <row r="165" spans="1:7" x14ac:dyDescent="0.25">
      <c r="A165" s="5" t="s">
        <v>270</v>
      </c>
      <c r="B165">
        <v>1000000</v>
      </c>
      <c r="C165" s="5">
        <v>-9.7622119999999999</v>
      </c>
      <c r="D165" s="5">
        <v>-36.141089999999998</v>
      </c>
      <c r="G165" s="14"/>
    </row>
    <row r="166" spans="1:7" x14ac:dyDescent="0.25">
      <c r="A166" s="5" t="s">
        <v>108</v>
      </c>
      <c r="B166">
        <v>5000000</v>
      </c>
      <c r="C166" s="5">
        <v>-21.7545</v>
      </c>
      <c r="D166" s="5">
        <v>-48.079300000000003</v>
      </c>
      <c r="G166" s="14"/>
    </row>
    <row r="167" spans="1:7" x14ac:dyDescent="0.25">
      <c r="A167" s="5" t="s">
        <v>99</v>
      </c>
      <c r="B167">
        <v>3000000</v>
      </c>
      <c r="C167" s="5">
        <v>-21.818439999999999</v>
      </c>
      <c r="D167" s="5">
        <v>-48.61374</v>
      </c>
      <c r="G167" s="14"/>
    </row>
    <row r="168" spans="1:7" x14ac:dyDescent="0.25">
      <c r="A168" s="5" t="s">
        <v>274</v>
      </c>
      <c r="B168">
        <v>4000000</v>
      </c>
      <c r="C168" s="5">
        <v>-21.510490000000001</v>
      </c>
      <c r="D168" s="5">
        <v>-49.209899999999998</v>
      </c>
      <c r="G168" s="14"/>
    </row>
    <row r="169" spans="1:7" x14ac:dyDescent="0.25">
      <c r="A169" s="5" t="s">
        <v>101</v>
      </c>
      <c r="B169">
        <v>4000000</v>
      </c>
      <c r="C169" s="5">
        <v>-19.544119999999999</v>
      </c>
      <c r="D169" s="5">
        <v>-47.425823000000001</v>
      </c>
      <c r="G169" s="14"/>
    </row>
    <row r="170" spans="1:7" x14ac:dyDescent="0.25">
      <c r="A170" s="5" t="s">
        <v>275</v>
      </c>
      <c r="B170">
        <v>1000000</v>
      </c>
      <c r="C170" s="5">
        <v>-22.3353</v>
      </c>
      <c r="D170" s="5">
        <v>-47.4054</v>
      </c>
      <c r="G170" s="14"/>
    </row>
    <row r="171" spans="1:7" x14ac:dyDescent="0.25">
      <c r="A171" s="5" t="s">
        <v>277</v>
      </c>
      <c r="B171">
        <v>1000000</v>
      </c>
      <c r="C171" s="5">
        <v>-9.0493000000000006</v>
      </c>
      <c r="D171" s="5">
        <v>-35.4161</v>
      </c>
      <c r="G171" s="14"/>
    </row>
    <row r="172" spans="1:7" x14ac:dyDescent="0.25">
      <c r="A172" s="5" t="s">
        <v>279</v>
      </c>
      <c r="B172">
        <v>2000000</v>
      </c>
      <c r="C172" s="5">
        <v>-23.1615</v>
      </c>
      <c r="D172" s="5">
        <v>-47.783200000000001</v>
      </c>
      <c r="G172" s="14"/>
    </row>
    <row r="173" spans="1:7" x14ac:dyDescent="0.25">
      <c r="A173" s="5" t="s">
        <v>281</v>
      </c>
      <c r="B173">
        <v>3000000</v>
      </c>
      <c r="C173" s="5">
        <v>-21.71978</v>
      </c>
      <c r="D173" s="5">
        <v>-47.639499999999998</v>
      </c>
      <c r="G173" s="14"/>
    </row>
    <row r="174" spans="1:7" x14ac:dyDescent="0.25">
      <c r="A174" s="5" t="s">
        <v>282</v>
      </c>
      <c r="B174">
        <v>2000000</v>
      </c>
      <c r="C174" s="5">
        <v>-23.372599999999998</v>
      </c>
      <c r="D174" s="5">
        <v>-52.905000000000001</v>
      </c>
      <c r="G174" s="14"/>
    </row>
    <row r="175" spans="1:7" x14ac:dyDescent="0.25">
      <c r="A175" s="5" t="s">
        <v>283</v>
      </c>
      <c r="B175">
        <v>2000000</v>
      </c>
      <c r="C175" s="5">
        <v>-23.3873</v>
      </c>
      <c r="D175" s="5">
        <v>-53.435400000000001</v>
      </c>
      <c r="G175" s="14"/>
    </row>
    <row r="176" spans="1:7" x14ac:dyDescent="0.25">
      <c r="A176" s="5" t="s">
        <v>284</v>
      </c>
      <c r="B176">
        <v>2000000</v>
      </c>
      <c r="C176" s="5">
        <v>-23.398299999999999</v>
      </c>
      <c r="D176" s="5">
        <v>-52.093299999999999</v>
      </c>
      <c r="G176" s="14"/>
    </row>
    <row r="177" spans="1:7" x14ac:dyDescent="0.25">
      <c r="A177" s="5" t="s">
        <v>285</v>
      </c>
      <c r="B177">
        <v>3000000</v>
      </c>
      <c r="C177" s="5">
        <v>-22.8764</v>
      </c>
      <c r="D177" s="5">
        <v>-52.183100000000003</v>
      </c>
      <c r="G177" s="14"/>
    </row>
    <row r="178" spans="1:7" x14ac:dyDescent="0.25">
      <c r="A178" s="5" t="s">
        <v>286</v>
      </c>
      <c r="B178">
        <v>2000000</v>
      </c>
      <c r="C178" s="5">
        <v>-23.369199999999999</v>
      </c>
      <c r="D178" s="5">
        <v>-52.709800000000001</v>
      </c>
      <c r="G178" s="14"/>
    </row>
    <row r="179" spans="1:7" x14ac:dyDescent="0.25">
      <c r="A179" s="5" t="s">
        <v>288</v>
      </c>
      <c r="B179">
        <v>4000000</v>
      </c>
      <c r="C179" s="5">
        <v>-23.751999999999999</v>
      </c>
      <c r="D179" s="5">
        <v>-52.882800000000003</v>
      </c>
      <c r="G179" s="14"/>
    </row>
    <row r="180" spans="1:7" x14ac:dyDescent="0.25">
      <c r="A180" s="5" t="s">
        <v>289</v>
      </c>
      <c r="B180">
        <v>2000000</v>
      </c>
      <c r="C180" s="5">
        <v>-22.7897</v>
      </c>
      <c r="D180" s="5">
        <v>-52.716999999999999</v>
      </c>
      <c r="G180" s="14"/>
    </row>
    <row r="181" spans="1:7" x14ac:dyDescent="0.25">
      <c r="A181" s="5" t="s">
        <v>291</v>
      </c>
      <c r="B181">
        <v>3000000</v>
      </c>
      <c r="C181" s="5">
        <v>-19.959800000000001</v>
      </c>
      <c r="D181" s="5">
        <v>-48.565300000000001</v>
      </c>
      <c r="G181" s="14"/>
    </row>
    <row r="182" spans="1:7" x14ac:dyDescent="0.25">
      <c r="A182" s="5" t="s">
        <v>118</v>
      </c>
      <c r="B182">
        <v>2000000</v>
      </c>
      <c r="C182" s="5">
        <v>-9.2844149999999992</v>
      </c>
      <c r="D182" s="5">
        <v>-35.561788999999997</v>
      </c>
      <c r="G182" s="14"/>
    </row>
    <row r="183" spans="1:7" x14ac:dyDescent="0.25">
      <c r="A183" s="5" t="s">
        <v>293</v>
      </c>
      <c r="B183">
        <v>3000000</v>
      </c>
      <c r="C183" s="5">
        <v>-21.120280000000001</v>
      </c>
      <c r="D183" s="5">
        <v>-47.960830000000001</v>
      </c>
      <c r="G183" s="14"/>
    </row>
    <row r="184" spans="1:7" x14ac:dyDescent="0.25">
      <c r="A184" s="5" t="s">
        <v>294</v>
      </c>
      <c r="B184">
        <v>5000000</v>
      </c>
      <c r="C184" s="5">
        <v>-23.2681</v>
      </c>
      <c r="D184" s="5">
        <v>-52.488900000000001</v>
      </c>
      <c r="G184" s="14"/>
    </row>
    <row r="185" spans="1:7" x14ac:dyDescent="0.25">
      <c r="A185" s="5" t="s">
        <v>295</v>
      </c>
      <c r="B185">
        <v>3000000</v>
      </c>
      <c r="C185" s="5">
        <v>-21.098299999999998</v>
      </c>
      <c r="D185" s="5">
        <v>-49.020600000000002</v>
      </c>
      <c r="G185" s="14"/>
    </row>
    <row r="186" spans="1:7" x14ac:dyDescent="0.25">
      <c r="A186" s="5" t="s">
        <v>296</v>
      </c>
      <c r="B186">
        <v>5500000</v>
      </c>
      <c r="C186" s="5">
        <v>-22.314399999999999</v>
      </c>
      <c r="D186" s="5">
        <v>-54.933799999999998</v>
      </c>
      <c r="G186" s="14"/>
    </row>
    <row r="187" spans="1:7" x14ac:dyDescent="0.25">
      <c r="A187" s="5" t="s">
        <v>298</v>
      </c>
      <c r="B187">
        <v>1000000</v>
      </c>
      <c r="C187" s="5">
        <v>-7.1327999999999996</v>
      </c>
      <c r="D187" s="5">
        <v>-35.009799999999998</v>
      </c>
      <c r="G187" s="14"/>
    </row>
    <row r="188" spans="1:7" x14ac:dyDescent="0.25">
      <c r="A188" s="5" t="s">
        <v>299</v>
      </c>
      <c r="B188">
        <v>4000000</v>
      </c>
      <c r="C188" s="5">
        <v>-22.426400000000001</v>
      </c>
      <c r="D188" s="5">
        <v>-47.357500000000002</v>
      </c>
      <c r="G188" s="14"/>
    </row>
    <row r="189" spans="1:7" x14ac:dyDescent="0.25">
      <c r="A189" s="8" t="s">
        <v>301</v>
      </c>
      <c r="B189">
        <v>1000000</v>
      </c>
      <c r="C189" s="5">
        <v>-7.8215399999999997</v>
      </c>
      <c r="D189" s="5">
        <v>-35.010800000000003</v>
      </c>
      <c r="G189" s="14"/>
    </row>
    <row r="190" spans="1:7" x14ac:dyDescent="0.25">
      <c r="A190" s="5" t="s">
        <v>302</v>
      </c>
      <c r="B190">
        <v>4000000</v>
      </c>
      <c r="C190" s="5">
        <v>-20.661999999999999</v>
      </c>
      <c r="D190" s="5">
        <v>-48.534999999999997</v>
      </c>
      <c r="G190" s="14"/>
    </row>
    <row r="191" spans="1:7" x14ac:dyDescent="0.25">
      <c r="A191" s="5" t="s">
        <v>303</v>
      </c>
      <c r="B191">
        <v>3000000</v>
      </c>
      <c r="C191" s="5">
        <v>-21.485579999999999</v>
      </c>
      <c r="D191" s="5">
        <v>-49.187130000000003</v>
      </c>
      <c r="G191" s="14"/>
    </row>
    <row r="192" spans="1:7" x14ac:dyDescent="0.25">
      <c r="A192" s="5" t="s">
        <v>304</v>
      </c>
      <c r="B192">
        <v>4000000</v>
      </c>
      <c r="C192" s="5">
        <v>-22.48751</v>
      </c>
      <c r="D192" s="5">
        <v>-48.780479999999997</v>
      </c>
      <c r="G192" s="14"/>
    </row>
    <row r="193" spans="1:7" x14ac:dyDescent="0.25">
      <c r="A193" s="8" t="s">
        <v>306</v>
      </c>
      <c r="B193">
        <v>3000000</v>
      </c>
      <c r="C193" s="5">
        <v>-22.937180000000001</v>
      </c>
      <c r="D193" s="5">
        <v>-49.768900000000002</v>
      </c>
      <c r="G193" s="14"/>
    </row>
    <row r="194" spans="1:7" x14ac:dyDescent="0.25">
      <c r="A194" s="5" t="s">
        <v>307</v>
      </c>
      <c r="B194">
        <v>4000000</v>
      </c>
      <c r="C194" s="5">
        <v>-22.670300000000001</v>
      </c>
      <c r="D194" s="5">
        <v>-48.542900000000003</v>
      </c>
      <c r="G194" s="14"/>
    </row>
    <row r="195" spans="1:7" x14ac:dyDescent="0.25">
      <c r="A195" s="5" t="s">
        <v>97</v>
      </c>
      <c r="B195">
        <v>5500000</v>
      </c>
      <c r="C195" s="5">
        <v>-21.314720000000001</v>
      </c>
      <c r="D195" s="5">
        <v>-48.122950000000003</v>
      </c>
      <c r="G195" s="14"/>
    </row>
    <row r="196" spans="1:7" x14ac:dyDescent="0.25">
      <c r="A196" s="8" t="s">
        <v>308</v>
      </c>
      <c r="B196">
        <v>2000000</v>
      </c>
      <c r="C196" s="5">
        <v>-18.971509000000001</v>
      </c>
      <c r="D196" s="5">
        <v>-50.634943999999997</v>
      </c>
      <c r="G196" s="14"/>
    </row>
    <row r="197" spans="1:7" x14ac:dyDescent="0.25">
      <c r="A197" s="5" t="s">
        <v>119</v>
      </c>
      <c r="B197">
        <v>2000000</v>
      </c>
      <c r="C197" s="5">
        <v>-9.9854699999999994</v>
      </c>
      <c r="D197" s="5">
        <v>-36.226500000000001</v>
      </c>
      <c r="G197" s="14"/>
    </row>
    <row r="198" spans="1:7" x14ac:dyDescent="0.25">
      <c r="A198" s="5" t="s">
        <v>309</v>
      </c>
      <c r="B198">
        <v>1000000</v>
      </c>
      <c r="C198" s="5">
        <v>-8.9727350000000001</v>
      </c>
      <c r="D198" s="5">
        <v>-36.065696000000003</v>
      </c>
      <c r="G198" s="14"/>
    </row>
    <row r="199" spans="1:7" x14ac:dyDescent="0.25">
      <c r="A199" s="5" t="s">
        <v>120</v>
      </c>
      <c r="B199">
        <v>2000000</v>
      </c>
      <c r="C199" s="5">
        <v>-9.9024599999999996</v>
      </c>
      <c r="D199" s="5">
        <v>-35.979500000000002</v>
      </c>
      <c r="G199" s="14"/>
    </row>
    <row r="200" spans="1:7" x14ac:dyDescent="0.25">
      <c r="A200" s="5" t="s">
        <v>311</v>
      </c>
      <c r="B200">
        <v>2000000</v>
      </c>
      <c r="C200" s="5">
        <v>-17.618300000000001</v>
      </c>
      <c r="D200" s="5">
        <v>-54.764000000000003</v>
      </c>
      <c r="G200" s="14"/>
    </row>
    <row r="201" spans="1:7" x14ac:dyDescent="0.25">
      <c r="A201" s="5" t="s">
        <v>312</v>
      </c>
      <c r="B201">
        <v>1000000</v>
      </c>
      <c r="C201" s="5">
        <v>-9.7291139999999992</v>
      </c>
      <c r="D201" s="5">
        <v>-35.942869999999999</v>
      </c>
      <c r="G201" s="14"/>
    </row>
    <row r="202" spans="1:7" x14ac:dyDescent="0.25">
      <c r="A202" s="5" t="s">
        <v>121</v>
      </c>
      <c r="B202">
        <v>2000000</v>
      </c>
      <c r="C202" s="5">
        <v>-8.5804489999999998</v>
      </c>
      <c r="D202" s="5">
        <v>-35.129458999999997</v>
      </c>
      <c r="G202" s="14"/>
    </row>
    <row r="203" spans="1:7" x14ac:dyDescent="0.25">
      <c r="A203" s="5" t="s">
        <v>317</v>
      </c>
      <c r="B203">
        <v>5000000</v>
      </c>
      <c r="C203" s="5">
        <v>-17.686146000000001</v>
      </c>
      <c r="D203" s="5">
        <v>-50.112566000000001</v>
      </c>
      <c r="G203" s="14"/>
    </row>
    <row r="204" spans="1:7" x14ac:dyDescent="0.25">
      <c r="A204" s="8" t="s">
        <v>320</v>
      </c>
      <c r="B204">
        <v>1000000</v>
      </c>
      <c r="C204" s="5">
        <v>-8.7643690000000003</v>
      </c>
      <c r="D204" s="5">
        <v>-35.315579999999997</v>
      </c>
      <c r="G204" s="14"/>
    </row>
    <row r="205" spans="1:7" x14ac:dyDescent="0.25">
      <c r="A205" s="5" t="s">
        <v>321</v>
      </c>
      <c r="B205">
        <v>3000000</v>
      </c>
      <c r="C205" s="5">
        <v>-21.4572</v>
      </c>
      <c r="D205" s="5">
        <v>-50.788600000000002</v>
      </c>
      <c r="G205" s="14"/>
    </row>
    <row r="206" spans="1:7" x14ac:dyDescent="0.25">
      <c r="A206" s="5" t="s">
        <v>322</v>
      </c>
      <c r="B206">
        <v>1000000</v>
      </c>
      <c r="C206" s="5">
        <v>-8.3236589999999993</v>
      </c>
      <c r="D206" s="5">
        <v>-35.415804000000001</v>
      </c>
      <c r="G206" s="14"/>
    </row>
    <row r="207" spans="1:7" x14ac:dyDescent="0.25">
      <c r="A207" s="8" t="s">
        <v>323</v>
      </c>
      <c r="B207">
        <v>2000000</v>
      </c>
      <c r="C207" s="5">
        <v>-21.044879999999999</v>
      </c>
      <c r="D207" s="5">
        <v>-48.720260000000003</v>
      </c>
      <c r="G207" s="14"/>
    </row>
    <row r="208" spans="1:7" x14ac:dyDescent="0.25">
      <c r="A208" s="5" t="s">
        <v>326</v>
      </c>
      <c r="B208">
        <v>3000000</v>
      </c>
      <c r="C208" s="5">
        <v>-21.15307</v>
      </c>
      <c r="D208" s="5">
        <v>-49.611499999999999</v>
      </c>
      <c r="G208" s="14"/>
    </row>
    <row r="209" spans="1:7" x14ac:dyDescent="0.25">
      <c r="A209" s="5" t="s">
        <v>327</v>
      </c>
      <c r="B209">
        <v>3000000</v>
      </c>
      <c r="C209" s="5">
        <v>-21.859300000000001</v>
      </c>
      <c r="D209" s="5">
        <v>-48.1845</v>
      </c>
      <c r="G209" s="14"/>
    </row>
    <row r="210" spans="1:7" x14ac:dyDescent="0.25">
      <c r="A210" s="5" t="s">
        <v>330</v>
      </c>
      <c r="B210">
        <v>2000000</v>
      </c>
      <c r="C210" s="5">
        <v>-20.389500000000002</v>
      </c>
      <c r="D210" s="5">
        <v>-51.032499999999999</v>
      </c>
      <c r="G210" s="14"/>
    </row>
    <row r="211" spans="1:7" x14ac:dyDescent="0.25">
      <c r="A211" s="5" t="s">
        <v>331</v>
      </c>
      <c r="B211">
        <v>3000000</v>
      </c>
      <c r="C211" s="5">
        <v>-19.35323</v>
      </c>
      <c r="D211" s="5">
        <v>-48.243920000000003</v>
      </c>
      <c r="G211" s="14"/>
    </row>
    <row r="212" spans="1:7" x14ac:dyDescent="0.25">
      <c r="A212" s="5" t="s">
        <v>332</v>
      </c>
      <c r="B212">
        <v>4000000</v>
      </c>
      <c r="C212" s="5">
        <v>-17.970199999999998</v>
      </c>
      <c r="D212" s="5">
        <v>-50.316299999999998</v>
      </c>
      <c r="G212" s="14"/>
    </row>
    <row r="213" spans="1:7" x14ac:dyDescent="0.25">
      <c r="A213" s="5" t="s">
        <v>334</v>
      </c>
      <c r="B213">
        <v>1000000</v>
      </c>
      <c r="C213" s="5">
        <v>-6.4162699999999999</v>
      </c>
      <c r="D213" s="5">
        <v>-35.055700000000002</v>
      </c>
      <c r="G213" s="14"/>
    </row>
    <row r="214" spans="1:7" x14ac:dyDescent="0.25">
      <c r="A214" s="5" t="s">
        <v>336</v>
      </c>
      <c r="B214">
        <v>3000000</v>
      </c>
      <c r="C214" s="5">
        <v>-20.4055</v>
      </c>
      <c r="D214" s="5">
        <v>-49.000599999999999</v>
      </c>
      <c r="G214" s="14"/>
    </row>
    <row r="215" spans="1:7" x14ac:dyDescent="0.25">
      <c r="A215" s="5" t="s">
        <v>338</v>
      </c>
      <c r="B215">
        <v>3000000</v>
      </c>
      <c r="C215" s="5">
        <v>-20.93854</v>
      </c>
      <c r="D215" s="5">
        <v>-48.250070000000001</v>
      </c>
      <c r="G215" s="14"/>
    </row>
    <row r="216" spans="1:7" x14ac:dyDescent="0.25">
      <c r="A216" s="5" t="s">
        <v>339</v>
      </c>
      <c r="B216">
        <v>3000000</v>
      </c>
      <c r="C216" s="5">
        <v>-21.087499999999999</v>
      </c>
      <c r="D216" s="5">
        <v>-51.583880000000001</v>
      </c>
      <c r="G216" s="14"/>
    </row>
    <row r="217" spans="1:7" x14ac:dyDescent="0.25">
      <c r="A217" s="5" t="s">
        <v>340</v>
      </c>
      <c r="B217">
        <v>4000000</v>
      </c>
      <c r="C217" s="5">
        <v>-21.589289999999998</v>
      </c>
      <c r="D217" s="5">
        <v>-51.455970000000001</v>
      </c>
      <c r="G217" s="14"/>
    </row>
    <row r="218" spans="1:7" x14ac:dyDescent="0.25">
      <c r="A218" s="5" t="s">
        <v>341</v>
      </c>
      <c r="B218">
        <v>5000000</v>
      </c>
      <c r="C218" s="5">
        <v>-21.1294</v>
      </c>
      <c r="D218" s="5">
        <v>-48.834299999999999</v>
      </c>
      <c r="G218" s="14"/>
    </row>
    <row r="219" spans="1:7" x14ac:dyDescent="0.25">
      <c r="A219" s="5" t="s">
        <v>342</v>
      </c>
      <c r="B219">
        <v>3000000</v>
      </c>
      <c r="C219" s="5">
        <v>-20.8765</v>
      </c>
      <c r="D219" s="5">
        <v>-50.127699999999997</v>
      </c>
      <c r="G219" s="14"/>
    </row>
    <row r="220" spans="1:7" x14ac:dyDescent="0.25">
      <c r="A220" s="5" t="s">
        <v>344</v>
      </c>
      <c r="B220">
        <v>2000000</v>
      </c>
      <c r="C220" s="5">
        <v>-23.488900000000001</v>
      </c>
      <c r="D220" s="5">
        <v>-48.103299999999997</v>
      </c>
      <c r="G220" s="14"/>
    </row>
    <row r="221" spans="1:7" x14ac:dyDescent="0.25">
      <c r="A221" s="8" t="s">
        <v>345</v>
      </c>
      <c r="B221">
        <v>2000000</v>
      </c>
      <c r="C221" s="8">
        <v>-18.217700000000001</v>
      </c>
      <c r="D221" s="8">
        <v>-45.990600000000001</v>
      </c>
      <c r="G221" s="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010DF-5D89-4352-B0F9-0A06A7907F0A}">
  <dimension ref="A1:L1000"/>
  <sheetViews>
    <sheetView showGridLines="0" zoomScale="92" workbookViewId="0">
      <selection activeCell="F21" sqref="F21"/>
    </sheetView>
  </sheetViews>
  <sheetFormatPr defaultColWidth="14.42578125" defaultRowHeight="15" customHeight="1" x14ac:dyDescent="0.25"/>
  <cols>
    <col min="1" max="1" width="32.85546875" customWidth="1"/>
    <col min="2" max="2" width="24" customWidth="1"/>
    <col min="3" max="3" width="8.7109375" customWidth="1"/>
    <col min="4" max="4" width="17.85546875" bestFit="1" customWidth="1"/>
    <col min="5" max="5" width="10" bestFit="1" customWidth="1"/>
    <col min="6" max="7" width="8.7109375" customWidth="1"/>
    <col min="8" max="8" width="19.140625" bestFit="1" customWidth="1"/>
    <col min="9" max="9" width="10.85546875" bestFit="1" customWidth="1"/>
    <col min="10" max="25" width="8.7109375" customWidth="1"/>
  </cols>
  <sheetData>
    <row r="1" spans="1:12" ht="14.25" customHeight="1" x14ac:dyDescent="0.25">
      <c r="A1" s="6" t="s">
        <v>0</v>
      </c>
      <c r="B1" s="7" t="s">
        <v>1</v>
      </c>
    </row>
    <row r="2" spans="1:12" ht="14.25" customHeight="1" x14ac:dyDescent="0.25">
      <c r="A2" s="4" t="s">
        <v>6</v>
      </c>
      <c r="B2" s="1">
        <v>3000000</v>
      </c>
    </row>
    <row r="3" spans="1:12" ht="14.25" customHeight="1" x14ac:dyDescent="0.25">
      <c r="A3" s="5" t="s">
        <v>7</v>
      </c>
      <c r="B3" s="2">
        <v>3000000</v>
      </c>
      <c r="I3" t="s">
        <v>102</v>
      </c>
      <c r="K3" t="s">
        <v>106</v>
      </c>
    </row>
    <row r="4" spans="1:12" ht="14.25" customHeight="1" x14ac:dyDescent="0.25">
      <c r="A4" s="4" t="s">
        <v>8</v>
      </c>
      <c r="B4" s="1">
        <v>5000000</v>
      </c>
      <c r="H4" t="s">
        <v>103</v>
      </c>
      <c r="I4">
        <v>972500000</v>
      </c>
      <c r="J4" s="9">
        <f>I4/$I$4</f>
        <v>1</v>
      </c>
      <c r="K4">
        <v>397</v>
      </c>
      <c r="L4" s="9">
        <f>K4/$K$4</f>
        <v>1</v>
      </c>
    </row>
    <row r="5" spans="1:12" ht="14.25" customHeight="1" x14ac:dyDescent="0.25">
      <c r="A5" s="5" t="s">
        <v>9</v>
      </c>
      <c r="B5" s="2">
        <v>5500000</v>
      </c>
      <c r="H5" t="s">
        <v>105</v>
      </c>
      <c r="I5">
        <v>542000000</v>
      </c>
      <c r="J5" s="9">
        <f>I5/$I$4</f>
        <v>0.5573264781491003</v>
      </c>
      <c r="K5">
        <v>141</v>
      </c>
      <c r="L5" s="9">
        <f t="shared" ref="L5:L6" si="0">K5/$K$4</f>
        <v>0.35516372795969775</v>
      </c>
    </row>
    <row r="6" spans="1:12" ht="14.25" customHeight="1" x14ac:dyDescent="0.25">
      <c r="A6" s="4" t="s">
        <v>10</v>
      </c>
      <c r="B6" s="1">
        <v>3000000</v>
      </c>
      <c r="H6" t="s">
        <v>104</v>
      </c>
      <c r="I6">
        <f>SUM(Tabela22[Sugarcane Capacity (ton)])</f>
        <v>389500000</v>
      </c>
      <c r="J6" s="10">
        <f>I6/$I$4</f>
        <v>0.40051413881748071</v>
      </c>
      <c r="K6">
        <v>100</v>
      </c>
      <c r="L6" s="9">
        <f t="shared" si="0"/>
        <v>0.25188916876574308</v>
      </c>
    </row>
    <row r="7" spans="1:12" ht="14.25" customHeight="1" x14ac:dyDescent="0.25">
      <c r="A7" s="5" t="s">
        <v>11</v>
      </c>
      <c r="B7" s="2">
        <v>4000000</v>
      </c>
    </row>
    <row r="8" spans="1:12" ht="14.25" customHeight="1" x14ac:dyDescent="0.25">
      <c r="A8" s="4" t="s">
        <v>12</v>
      </c>
      <c r="B8" s="1">
        <v>4000000</v>
      </c>
    </row>
    <row r="9" spans="1:12" ht="14.25" customHeight="1" x14ac:dyDescent="0.25">
      <c r="A9" s="5" t="s">
        <v>13</v>
      </c>
      <c r="B9" s="2">
        <v>4000000</v>
      </c>
    </row>
    <row r="10" spans="1:12" ht="14.25" customHeight="1" x14ac:dyDescent="0.25">
      <c r="A10" s="4" t="s">
        <v>14</v>
      </c>
      <c r="B10" s="1">
        <v>3000000</v>
      </c>
    </row>
    <row r="11" spans="1:12" ht="14.25" customHeight="1" x14ac:dyDescent="0.25">
      <c r="A11" s="5" t="s">
        <v>15</v>
      </c>
      <c r="B11" s="3">
        <v>4000000</v>
      </c>
    </row>
    <row r="12" spans="1:12" ht="14.25" customHeight="1" x14ac:dyDescent="0.25">
      <c r="A12" s="4" t="s">
        <v>16</v>
      </c>
      <c r="B12">
        <v>3000000</v>
      </c>
    </row>
    <row r="13" spans="1:12" ht="14.25" customHeight="1" x14ac:dyDescent="0.25">
      <c r="A13" s="5" t="s">
        <v>17</v>
      </c>
      <c r="B13">
        <v>3000000</v>
      </c>
    </row>
    <row r="14" spans="1:12" ht="14.25" customHeight="1" x14ac:dyDescent="0.25">
      <c r="A14" s="4" t="s">
        <v>18</v>
      </c>
      <c r="B14">
        <v>5000000</v>
      </c>
    </row>
    <row r="15" spans="1:12" ht="14.25" customHeight="1" x14ac:dyDescent="0.25">
      <c r="A15" s="5" t="s">
        <v>19</v>
      </c>
      <c r="B15">
        <v>3000000</v>
      </c>
    </row>
    <row r="16" spans="1:12" ht="14.25" customHeight="1" x14ac:dyDescent="0.25">
      <c r="A16" s="4" t="s">
        <v>20</v>
      </c>
      <c r="B16">
        <v>4000000</v>
      </c>
    </row>
    <row r="17" spans="1:2" ht="14.25" customHeight="1" x14ac:dyDescent="0.25">
      <c r="A17" s="5" t="s">
        <v>21</v>
      </c>
      <c r="B17">
        <v>3000000</v>
      </c>
    </row>
    <row r="18" spans="1:2" ht="14.25" customHeight="1" x14ac:dyDescent="0.25">
      <c r="A18" s="4" t="s">
        <v>22</v>
      </c>
      <c r="B18">
        <v>4000000</v>
      </c>
    </row>
    <row r="19" spans="1:2" ht="14.25" customHeight="1" x14ac:dyDescent="0.25">
      <c r="A19" s="5" t="s">
        <v>23</v>
      </c>
      <c r="B19">
        <v>4000000</v>
      </c>
    </row>
    <row r="20" spans="1:2" ht="14.25" customHeight="1" x14ac:dyDescent="0.25">
      <c r="A20" s="4" t="s">
        <v>24</v>
      </c>
      <c r="B20">
        <v>3000000</v>
      </c>
    </row>
    <row r="21" spans="1:2" ht="14.25" customHeight="1" x14ac:dyDescent="0.25">
      <c r="A21" s="5" t="s">
        <v>25</v>
      </c>
      <c r="B21">
        <v>4000000</v>
      </c>
    </row>
    <row r="22" spans="1:2" ht="14.25" customHeight="1" x14ac:dyDescent="0.25">
      <c r="A22" s="4" t="s">
        <v>26</v>
      </c>
      <c r="B22">
        <v>3000000</v>
      </c>
    </row>
    <row r="23" spans="1:2" ht="14.25" customHeight="1" x14ac:dyDescent="0.25">
      <c r="A23" s="5" t="s">
        <v>27</v>
      </c>
      <c r="B23">
        <v>3000000</v>
      </c>
    </row>
    <row r="24" spans="1:2" ht="14.25" customHeight="1" x14ac:dyDescent="0.25">
      <c r="A24" s="4" t="s">
        <v>28</v>
      </c>
      <c r="B24">
        <v>3000000</v>
      </c>
    </row>
    <row r="25" spans="1:2" ht="14.25" customHeight="1" x14ac:dyDescent="0.25">
      <c r="A25" s="5" t="s">
        <v>29</v>
      </c>
      <c r="B25">
        <v>3000000</v>
      </c>
    </row>
    <row r="26" spans="1:2" ht="14.25" customHeight="1" x14ac:dyDescent="0.25">
      <c r="A26" s="4" t="s">
        <v>30</v>
      </c>
      <c r="B26">
        <v>5000000</v>
      </c>
    </row>
    <row r="27" spans="1:2" ht="14.25" customHeight="1" x14ac:dyDescent="0.25">
      <c r="A27" s="5" t="s">
        <v>31</v>
      </c>
      <c r="B27">
        <v>5500000</v>
      </c>
    </row>
    <row r="28" spans="1:2" ht="14.25" customHeight="1" x14ac:dyDescent="0.25">
      <c r="A28" s="4" t="s">
        <v>32</v>
      </c>
      <c r="B28">
        <v>5500000</v>
      </c>
    </row>
    <row r="29" spans="1:2" ht="14.25" customHeight="1" x14ac:dyDescent="0.25">
      <c r="A29" s="5" t="s">
        <v>33</v>
      </c>
      <c r="B29">
        <v>5000000</v>
      </c>
    </row>
    <row r="30" spans="1:2" ht="14.25" customHeight="1" x14ac:dyDescent="0.25">
      <c r="A30" s="4" t="s">
        <v>34</v>
      </c>
      <c r="B30">
        <v>3000000</v>
      </c>
    </row>
    <row r="31" spans="1:2" ht="14.25" customHeight="1" x14ac:dyDescent="0.25">
      <c r="A31" s="5" t="s">
        <v>35</v>
      </c>
      <c r="B31">
        <v>4000000</v>
      </c>
    </row>
    <row r="32" spans="1:2" ht="14.25" customHeight="1" x14ac:dyDescent="0.25">
      <c r="A32" s="4" t="s">
        <v>36</v>
      </c>
      <c r="B32">
        <v>3000000</v>
      </c>
    </row>
    <row r="33" spans="1:2" ht="14.25" customHeight="1" x14ac:dyDescent="0.25">
      <c r="A33" s="5" t="s">
        <v>5</v>
      </c>
      <c r="B33">
        <v>5000000</v>
      </c>
    </row>
    <row r="34" spans="1:2" ht="14.25" customHeight="1" x14ac:dyDescent="0.25">
      <c r="A34" s="4" t="s">
        <v>37</v>
      </c>
      <c r="B34">
        <v>3000000</v>
      </c>
    </row>
    <row r="35" spans="1:2" ht="14.25" customHeight="1" x14ac:dyDescent="0.25">
      <c r="A35" s="5" t="s">
        <v>38</v>
      </c>
      <c r="B35">
        <v>3000000</v>
      </c>
    </row>
    <row r="36" spans="1:2" ht="14.25" customHeight="1" x14ac:dyDescent="0.25">
      <c r="A36" s="4" t="s">
        <v>39</v>
      </c>
      <c r="B36">
        <v>5500000</v>
      </c>
    </row>
    <row r="37" spans="1:2" ht="14.25" customHeight="1" x14ac:dyDescent="0.25">
      <c r="A37" s="5" t="s">
        <v>40</v>
      </c>
      <c r="B37">
        <v>4000000</v>
      </c>
    </row>
    <row r="38" spans="1:2" ht="14.25" customHeight="1" x14ac:dyDescent="0.25">
      <c r="A38" s="4" t="s">
        <v>4</v>
      </c>
      <c r="B38">
        <v>4000000</v>
      </c>
    </row>
    <row r="39" spans="1:2" ht="14.25" customHeight="1" x14ac:dyDescent="0.25">
      <c r="A39" t="s">
        <v>98</v>
      </c>
      <c r="B39">
        <v>5000000</v>
      </c>
    </row>
    <row r="40" spans="1:2" ht="14.25" customHeight="1" x14ac:dyDescent="0.25">
      <c r="A40" t="s">
        <v>99</v>
      </c>
      <c r="B40">
        <v>3000000</v>
      </c>
    </row>
    <row r="41" spans="1:2" ht="14.25" customHeight="1" x14ac:dyDescent="0.25">
      <c r="A41" t="s">
        <v>100</v>
      </c>
      <c r="B41">
        <v>3000000</v>
      </c>
    </row>
    <row r="42" spans="1:2" ht="14.25" customHeight="1" x14ac:dyDescent="0.25">
      <c r="A42" t="s">
        <v>101</v>
      </c>
      <c r="B42">
        <v>4000000</v>
      </c>
    </row>
    <row r="43" spans="1:2" ht="14.25" customHeight="1" x14ac:dyDescent="0.25">
      <c r="A43" s="5" t="s">
        <v>41</v>
      </c>
      <c r="B43">
        <v>5500000</v>
      </c>
    </row>
    <row r="44" spans="1:2" ht="14.25" customHeight="1" x14ac:dyDescent="0.25">
      <c r="A44" s="4" t="s">
        <v>42</v>
      </c>
      <c r="B44">
        <v>5500000</v>
      </c>
    </row>
    <row r="45" spans="1:2" ht="14.25" customHeight="1" x14ac:dyDescent="0.25">
      <c r="A45" s="5" t="s">
        <v>43</v>
      </c>
      <c r="B45">
        <v>5000000</v>
      </c>
    </row>
    <row r="46" spans="1:2" ht="14.25" customHeight="1" x14ac:dyDescent="0.25">
      <c r="A46" s="4" t="s">
        <v>44</v>
      </c>
      <c r="B46">
        <v>3000000</v>
      </c>
    </row>
    <row r="47" spans="1:2" ht="14.25" customHeight="1" x14ac:dyDescent="0.25">
      <c r="A47" s="5" t="s">
        <v>45</v>
      </c>
      <c r="B47">
        <v>4000000</v>
      </c>
    </row>
    <row r="48" spans="1:2" ht="14.25" customHeight="1" x14ac:dyDescent="0.25">
      <c r="A48" s="4" t="s">
        <v>46</v>
      </c>
      <c r="B48">
        <v>4000000</v>
      </c>
    </row>
    <row r="49" spans="1:2" ht="14.25" customHeight="1" x14ac:dyDescent="0.25">
      <c r="A49" s="5" t="s">
        <v>47</v>
      </c>
      <c r="B49">
        <v>4000000</v>
      </c>
    </row>
    <row r="50" spans="1:2" ht="14.25" customHeight="1" x14ac:dyDescent="0.25">
      <c r="A50" s="4" t="s">
        <v>48</v>
      </c>
      <c r="B50">
        <v>5000000</v>
      </c>
    </row>
    <row r="51" spans="1:2" ht="14.25" customHeight="1" x14ac:dyDescent="0.25">
      <c r="A51" s="5" t="s">
        <v>49</v>
      </c>
      <c r="B51">
        <v>5000000</v>
      </c>
    </row>
    <row r="52" spans="1:2" ht="14.25" customHeight="1" x14ac:dyDescent="0.25">
      <c r="A52" s="8" t="s">
        <v>50</v>
      </c>
      <c r="B52">
        <v>5000000</v>
      </c>
    </row>
    <row r="53" spans="1:2" ht="14.25" customHeight="1" x14ac:dyDescent="0.25">
      <c r="A53" s="8" t="s">
        <v>51</v>
      </c>
      <c r="B53">
        <v>4000000</v>
      </c>
    </row>
    <row r="54" spans="1:2" ht="14.25" customHeight="1" x14ac:dyDescent="0.25">
      <c r="A54" s="8" t="s">
        <v>52</v>
      </c>
      <c r="B54">
        <v>3000000</v>
      </c>
    </row>
    <row r="55" spans="1:2" ht="14.25" customHeight="1" x14ac:dyDescent="0.25">
      <c r="A55" s="5" t="s">
        <v>53</v>
      </c>
      <c r="B55">
        <v>5000000</v>
      </c>
    </row>
    <row r="56" spans="1:2" ht="14.25" customHeight="1" x14ac:dyDescent="0.25">
      <c r="A56" s="5" t="s">
        <v>54</v>
      </c>
      <c r="B56">
        <v>4000000</v>
      </c>
    </row>
    <row r="57" spans="1:2" ht="14.25" customHeight="1" x14ac:dyDescent="0.25">
      <c r="A57" s="8" t="s">
        <v>55</v>
      </c>
      <c r="B57">
        <v>5000000</v>
      </c>
    </row>
    <row r="58" spans="1:2" ht="14.25" customHeight="1" x14ac:dyDescent="0.25">
      <c r="A58" s="8" t="s">
        <v>56</v>
      </c>
      <c r="B58">
        <v>4000000</v>
      </c>
    </row>
    <row r="59" spans="1:2" ht="14.25" customHeight="1" x14ac:dyDescent="0.25">
      <c r="A59" s="8" t="s">
        <v>57</v>
      </c>
      <c r="B59">
        <v>5000000</v>
      </c>
    </row>
    <row r="60" spans="1:2" ht="14.25" customHeight="1" x14ac:dyDescent="0.25">
      <c r="A60" s="5" t="s">
        <v>58</v>
      </c>
      <c r="B60">
        <v>4000000</v>
      </c>
    </row>
    <row r="61" spans="1:2" ht="14.25" customHeight="1" x14ac:dyDescent="0.25">
      <c r="A61" s="5" t="s">
        <v>59</v>
      </c>
      <c r="B61">
        <v>5500000</v>
      </c>
    </row>
    <row r="62" spans="1:2" ht="14.25" customHeight="1" x14ac:dyDescent="0.25">
      <c r="A62" s="5" t="s">
        <v>60</v>
      </c>
      <c r="B62">
        <v>4000000</v>
      </c>
    </row>
    <row r="63" spans="1:2" ht="14.25" customHeight="1" x14ac:dyDescent="0.25">
      <c r="A63" s="8" t="s">
        <v>61</v>
      </c>
      <c r="B63">
        <v>3000000</v>
      </c>
    </row>
    <row r="64" spans="1:2" ht="14.25" customHeight="1" x14ac:dyDescent="0.25">
      <c r="A64" s="5" t="s">
        <v>62</v>
      </c>
      <c r="B64">
        <v>4000000</v>
      </c>
    </row>
    <row r="65" spans="1:2" ht="14.25" customHeight="1" x14ac:dyDescent="0.25">
      <c r="A65" s="8" t="s">
        <v>63</v>
      </c>
      <c r="B65">
        <v>3000000</v>
      </c>
    </row>
    <row r="66" spans="1:2" ht="14.25" customHeight="1" x14ac:dyDescent="0.25">
      <c r="A66" s="8" t="s">
        <v>64</v>
      </c>
      <c r="B66">
        <v>3000000</v>
      </c>
    </row>
    <row r="67" spans="1:2" ht="14.25" customHeight="1" x14ac:dyDescent="0.25">
      <c r="A67" s="8" t="s">
        <v>65</v>
      </c>
      <c r="B67">
        <v>3000000</v>
      </c>
    </row>
    <row r="68" spans="1:2" ht="14.25" customHeight="1" x14ac:dyDescent="0.25">
      <c r="A68" s="5" t="s">
        <v>66</v>
      </c>
      <c r="B68">
        <v>5500000</v>
      </c>
    </row>
    <row r="69" spans="1:2" ht="14.25" customHeight="1" x14ac:dyDescent="0.25">
      <c r="A69" s="8" t="s">
        <v>67</v>
      </c>
      <c r="B69">
        <v>3000000</v>
      </c>
    </row>
    <row r="70" spans="1:2" ht="14.25" customHeight="1" x14ac:dyDescent="0.25">
      <c r="A70" s="5" t="s">
        <v>68</v>
      </c>
      <c r="B70">
        <v>3000000</v>
      </c>
    </row>
    <row r="71" spans="1:2" ht="14.25" customHeight="1" x14ac:dyDescent="0.25">
      <c r="A71" s="5" t="s">
        <v>69</v>
      </c>
      <c r="B71">
        <v>3000000</v>
      </c>
    </row>
    <row r="72" spans="1:2" ht="14.25" customHeight="1" x14ac:dyDescent="0.25">
      <c r="A72" s="8" t="s">
        <v>70</v>
      </c>
      <c r="B72">
        <v>3000000</v>
      </c>
    </row>
    <row r="73" spans="1:2" ht="14.25" customHeight="1" x14ac:dyDescent="0.25">
      <c r="A73" s="8" t="s">
        <v>2</v>
      </c>
      <c r="B73">
        <v>5000000</v>
      </c>
    </row>
    <row r="74" spans="1:2" ht="14.25" customHeight="1" x14ac:dyDescent="0.25">
      <c r="A74" s="5" t="s">
        <v>71</v>
      </c>
      <c r="B74">
        <v>3000000</v>
      </c>
    </row>
    <row r="75" spans="1:2" ht="14.25" customHeight="1" x14ac:dyDescent="0.25">
      <c r="A75" s="8" t="s">
        <v>72</v>
      </c>
      <c r="B75">
        <v>4000000</v>
      </c>
    </row>
    <row r="76" spans="1:2" ht="14.25" customHeight="1" x14ac:dyDescent="0.25">
      <c r="A76" s="8" t="s">
        <v>73</v>
      </c>
      <c r="B76">
        <v>3000000</v>
      </c>
    </row>
    <row r="77" spans="1:2" ht="14.25" customHeight="1" x14ac:dyDescent="0.25">
      <c r="A77" s="8" t="s">
        <v>74</v>
      </c>
      <c r="B77">
        <v>3000000</v>
      </c>
    </row>
    <row r="78" spans="1:2" ht="14.25" customHeight="1" x14ac:dyDescent="0.25">
      <c r="A78" s="8" t="s">
        <v>75</v>
      </c>
      <c r="B78">
        <v>3000000</v>
      </c>
    </row>
    <row r="79" spans="1:2" ht="14.25" customHeight="1" x14ac:dyDescent="0.25">
      <c r="A79" s="8" t="s">
        <v>76</v>
      </c>
      <c r="B79">
        <v>3000000</v>
      </c>
    </row>
    <row r="80" spans="1:2" ht="14.25" customHeight="1" x14ac:dyDescent="0.25">
      <c r="A80" s="8" t="s">
        <v>77</v>
      </c>
      <c r="B80">
        <v>4000000</v>
      </c>
    </row>
    <row r="81" spans="1:2" ht="14.25" customHeight="1" x14ac:dyDescent="0.25">
      <c r="A81" s="8" t="s">
        <v>78</v>
      </c>
      <c r="B81">
        <v>3000000</v>
      </c>
    </row>
    <row r="82" spans="1:2" ht="14.25" customHeight="1" x14ac:dyDescent="0.25">
      <c r="A82" s="8" t="s">
        <v>79</v>
      </c>
      <c r="B82">
        <v>5500000</v>
      </c>
    </row>
    <row r="83" spans="1:2" ht="14.25" customHeight="1" x14ac:dyDescent="0.25">
      <c r="A83" s="5" t="s">
        <v>80</v>
      </c>
      <c r="B83">
        <v>3000000</v>
      </c>
    </row>
    <row r="84" spans="1:2" ht="14.25" customHeight="1" x14ac:dyDescent="0.25">
      <c r="A84" s="8" t="s">
        <v>81</v>
      </c>
      <c r="B84">
        <v>5500000</v>
      </c>
    </row>
    <row r="85" spans="1:2" ht="14.25" customHeight="1" x14ac:dyDescent="0.25">
      <c r="A85" s="5" t="s">
        <v>82</v>
      </c>
      <c r="B85">
        <v>5000000</v>
      </c>
    </row>
    <row r="86" spans="1:2" ht="14.25" customHeight="1" x14ac:dyDescent="0.25">
      <c r="A86" s="5" t="s">
        <v>83</v>
      </c>
      <c r="B86">
        <v>5000000</v>
      </c>
    </row>
    <row r="87" spans="1:2" ht="14.25" customHeight="1" x14ac:dyDescent="0.25">
      <c r="A87" s="8" t="s">
        <v>3</v>
      </c>
      <c r="B87">
        <v>5000000</v>
      </c>
    </row>
    <row r="88" spans="1:2" ht="14.25" customHeight="1" x14ac:dyDescent="0.25">
      <c r="A88" s="8" t="s">
        <v>84</v>
      </c>
      <c r="B88">
        <v>4000000</v>
      </c>
    </row>
    <row r="89" spans="1:2" ht="14.25" customHeight="1" x14ac:dyDescent="0.25">
      <c r="A89" s="5" t="s">
        <v>85</v>
      </c>
      <c r="B89">
        <v>3000000</v>
      </c>
    </row>
    <row r="90" spans="1:2" ht="14.25" customHeight="1" x14ac:dyDescent="0.25">
      <c r="A90" s="5" t="s">
        <v>86</v>
      </c>
      <c r="B90">
        <v>4000000</v>
      </c>
    </row>
    <row r="91" spans="1:2" ht="14.25" customHeight="1" x14ac:dyDescent="0.25">
      <c r="A91" s="5" t="s">
        <v>87</v>
      </c>
      <c r="B91">
        <v>3000000</v>
      </c>
    </row>
    <row r="92" spans="1:2" ht="14.25" customHeight="1" x14ac:dyDescent="0.25">
      <c r="A92" s="8" t="s">
        <v>88</v>
      </c>
      <c r="B92">
        <v>4000000</v>
      </c>
    </row>
    <row r="93" spans="1:2" ht="14.25" customHeight="1" x14ac:dyDescent="0.25">
      <c r="A93" s="5" t="s">
        <v>89</v>
      </c>
      <c r="B93">
        <v>3000000</v>
      </c>
    </row>
    <row r="94" spans="1:2" ht="14.25" customHeight="1" x14ac:dyDescent="0.25">
      <c r="A94" s="8" t="s">
        <v>90</v>
      </c>
      <c r="B94">
        <v>3000000</v>
      </c>
    </row>
    <row r="95" spans="1:2" ht="14.25" customHeight="1" x14ac:dyDescent="0.25">
      <c r="A95" s="5" t="s">
        <v>91</v>
      </c>
      <c r="B95">
        <v>5000000</v>
      </c>
    </row>
    <row r="96" spans="1:2" ht="14.25" customHeight="1" x14ac:dyDescent="0.25">
      <c r="A96" s="5" t="s">
        <v>92</v>
      </c>
      <c r="B96">
        <v>3000000</v>
      </c>
    </row>
    <row r="97" spans="1:2" ht="14.25" customHeight="1" x14ac:dyDescent="0.25">
      <c r="A97" s="5" t="s">
        <v>93</v>
      </c>
      <c r="B97">
        <v>3000000</v>
      </c>
    </row>
    <row r="98" spans="1:2" ht="14.25" customHeight="1" x14ac:dyDescent="0.25">
      <c r="A98" s="5" t="s">
        <v>94</v>
      </c>
      <c r="B98">
        <v>3000000</v>
      </c>
    </row>
    <row r="99" spans="1:2" ht="14.25" customHeight="1" x14ac:dyDescent="0.25">
      <c r="A99" s="8" t="s">
        <v>95</v>
      </c>
      <c r="B99">
        <v>3000000</v>
      </c>
    </row>
    <row r="100" spans="1:2" ht="14.25" customHeight="1" x14ac:dyDescent="0.25">
      <c r="A100" s="8" t="s">
        <v>96</v>
      </c>
      <c r="B100">
        <v>3000000</v>
      </c>
    </row>
    <row r="101" spans="1:2" ht="14.25" customHeight="1" x14ac:dyDescent="0.25">
      <c r="A101" t="s">
        <v>97</v>
      </c>
      <c r="B101">
        <v>5500000</v>
      </c>
    </row>
    <row r="102" spans="1:2" ht="14.25" customHeight="1" x14ac:dyDescent="0.25">
      <c r="A102" s="8"/>
      <c r="B102">
        <f>SUM(B2:B101)</f>
        <v>389500000</v>
      </c>
    </row>
    <row r="103" spans="1:2" ht="14.25" customHeight="1" x14ac:dyDescent="0.25"/>
    <row r="104" spans="1:2" ht="14.25" customHeight="1" x14ac:dyDescent="0.25"/>
    <row r="105" spans="1:2" ht="14.25" customHeight="1" x14ac:dyDescent="0.25"/>
    <row r="106" spans="1:2" ht="14.25" customHeight="1" x14ac:dyDescent="0.25"/>
    <row r="107" spans="1:2" ht="14.25" customHeight="1" x14ac:dyDescent="0.25"/>
    <row r="108" spans="1:2" ht="14.25" customHeight="1" x14ac:dyDescent="0.25"/>
    <row r="109" spans="1:2" ht="14.25" customHeight="1" x14ac:dyDescent="0.25"/>
    <row r="110" spans="1:2" ht="14.25" customHeight="1" x14ac:dyDescent="0.25"/>
    <row r="111" spans="1:2" ht="14.25" customHeight="1" x14ac:dyDescent="0.25"/>
    <row r="112" spans="1: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511811024" right="0.511811024" top="0.78740157499999996" bottom="0.78740157499999996" header="0" footer="0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95E3EA-1232-43A4-9F26-318DE7D864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Capacities</vt:lpstr>
      <vt:lpstr>ethanol</vt:lpstr>
      <vt:lpstr>annexed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Almeida</dc:creator>
  <cp:lastModifiedBy>Madelynn Watson</cp:lastModifiedBy>
  <dcterms:created xsi:type="dcterms:W3CDTF">2024-09-20T00:11:19Z</dcterms:created>
  <dcterms:modified xsi:type="dcterms:W3CDTF">2025-06-19T16:55:02Z</dcterms:modified>
</cp:coreProperties>
</file>